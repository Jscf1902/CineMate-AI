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d81f7f7d39c89d/Documentos/Maestria en Ingenieria y Analitica de Datos/Proyecto de Grado/CineMate AI/data/raw/"/>
    </mc:Choice>
  </mc:AlternateContent>
  <xr:revisionPtr revIDLastSave="94" documentId="8_{9CB83FBC-9680-4516-A0BA-6EFFA4D6ABEC}" xr6:coauthVersionLast="47" xr6:coauthVersionMax="47" xr10:uidLastSave="{203BE367-398E-4DDA-A70A-2071BBC13BC5}"/>
  <bookViews>
    <workbookView xWindow="-120" yWindow="-120" windowWidth="29040" windowHeight="16440" activeTab="1" xr2:uid="{D887B718-B0B6-4F11-B49E-ECE8EA4CB6CF}"/>
  </bookViews>
  <sheets>
    <sheet name="Sheet1" sheetId="2" r:id="rId1"/>
    <sheet name="chatbot_sessions_raw" sheetId="1" r:id="rId2"/>
    <sheet name="Sheet2" sheetId="3" r:id="rId3"/>
  </sheets>
  <externalReferences>
    <externalReference r:id="rId4"/>
  </externalReferenc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1" i="1" l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Q135" i="1"/>
  <c r="R135" i="1"/>
  <c r="S135" i="1"/>
  <c r="Q136" i="1"/>
  <c r="R136" i="1"/>
  <c r="S136" i="1"/>
  <c r="Q137" i="1"/>
  <c r="R137" i="1"/>
  <c r="S137" i="1"/>
  <c r="Q138" i="1"/>
  <c r="R138" i="1"/>
  <c r="S138" i="1"/>
  <c r="Q139" i="1"/>
  <c r="R139" i="1"/>
  <c r="S139" i="1"/>
  <c r="Q140" i="1"/>
  <c r="R140" i="1"/>
  <c r="S140" i="1"/>
  <c r="Q141" i="1"/>
  <c r="R141" i="1"/>
  <c r="S141" i="1"/>
  <c r="V141" i="1" s="1"/>
  <c r="Q142" i="1"/>
  <c r="R142" i="1"/>
  <c r="S142" i="1"/>
  <c r="Q143" i="1"/>
  <c r="R143" i="1"/>
  <c r="S143" i="1"/>
  <c r="Q144" i="1"/>
  <c r="R144" i="1"/>
  <c r="S144" i="1"/>
  <c r="Q145" i="1"/>
  <c r="R145" i="1"/>
  <c r="S145" i="1"/>
  <c r="Q146" i="1"/>
  <c r="R146" i="1"/>
  <c r="S146" i="1"/>
  <c r="Q147" i="1"/>
  <c r="R147" i="1"/>
  <c r="S147" i="1"/>
  <c r="Q148" i="1"/>
  <c r="R148" i="1"/>
  <c r="S148" i="1"/>
  <c r="Q149" i="1"/>
  <c r="R149" i="1"/>
  <c r="S149" i="1"/>
  <c r="V149" i="1" s="1"/>
  <c r="Q150" i="1"/>
  <c r="R150" i="1"/>
  <c r="S150" i="1"/>
  <c r="Q151" i="1"/>
  <c r="R151" i="1"/>
  <c r="S151" i="1"/>
  <c r="Q152" i="1"/>
  <c r="R152" i="1"/>
  <c r="S152" i="1"/>
  <c r="Q153" i="1"/>
  <c r="R153" i="1"/>
  <c r="S153" i="1"/>
  <c r="Q154" i="1"/>
  <c r="R154" i="1"/>
  <c r="S154" i="1"/>
  <c r="Q155" i="1"/>
  <c r="R155" i="1"/>
  <c r="S155" i="1"/>
  <c r="Q156" i="1"/>
  <c r="R156" i="1"/>
  <c r="S156" i="1"/>
  <c r="Q157" i="1"/>
  <c r="R157" i="1"/>
  <c r="S157" i="1"/>
  <c r="V157" i="1" s="1"/>
  <c r="Q158" i="1"/>
  <c r="R158" i="1"/>
  <c r="S158" i="1"/>
  <c r="Q159" i="1"/>
  <c r="R159" i="1"/>
  <c r="S159" i="1"/>
  <c r="Q160" i="1"/>
  <c r="R160" i="1"/>
  <c r="S160" i="1"/>
  <c r="Q161" i="1"/>
  <c r="R161" i="1"/>
  <c r="S161" i="1"/>
  <c r="Q162" i="1"/>
  <c r="R162" i="1"/>
  <c r="S162" i="1"/>
  <c r="Q163" i="1"/>
  <c r="R163" i="1"/>
  <c r="S163" i="1"/>
  <c r="Q164" i="1"/>
  <c r="R164" i="1"/>
  <c r="S164" i="1"/>
  <c r="Q165" i="1"/>
  <c r="R165" i="1"/>
  <c r="S165" i="1"/>
  <c r="V165" i="1" s="1"/>
  <c r="Q166" i="1"/>
  <c r="R166" i="1"/>
  <c r="S166" i="1"/>
  <c r="Q167" i="1"/>
  <c r="R167" i="1"/>
  <c r="S167" i="1"/>
  <c r="Q168" i="1"/>
  <c r="R168" i="1"/>
  <c r="S168" i="1"/>
  <c r="Q169" i="1"/>
  <c r="R169" i="1"/>
  <c r="S169" i="1"/>
  <c r="Q170" i="1"/>
  <c r="R170" i="1"/>
  <c r="S170" i="1"/>
  <c r="Q171" i="1"/>
  <c r="R171" i="1"/>
  <c r="S171" i="1"/>
  <c r="Q172" i="1"/>
  <c r="R172" i="1"/>
  <c r="S172" i="1"/>
  <c r="Q173" i="1"/>
  <c r="R173" i="1"/>
  <c r="S173" i="1"/>
  <c r="V173" i="1" s="1"/>
  <c r="Q174" i="1"/>
  <c r="R174" i="1"/>
  <c r="S174" i="1"/>
  <c r="Q175" i="1"/>
  <c r="R175" i="1"/>
  <c r="S175" i="1"/>
  <c r="Q176" i="1"/>
  <c r="R176" i="1"/>
  <c r="S176" i="1"/>
  <c r="Q177" i="1"/>
  <c r="R177" i="1"/>
  <c r="S177" i="1"/>
  <c r="Q178" i="1"/>
  <c r="R178" i="1"/>
  <c r="S178" i="1"/>
  <c r="Q179" i="1"/>
  <c r="R179" i="1"/>
  <c r="S179" i="1"/>
  <c r="Q180" i="1"/>
  <c r="R180" i="1"/>
  <c r="S180" i="1"/>
  <c r="Q181" i="1"/>
  <c r="R181" i="1"/>
  <c r="S181" i="1"/>
  <c r="V181" i="1" s="1"/>
  <c r="Q182" i="1"/>
  <c r="R182" i="1"/>
  <c r="S182" i="1"/>
  <c r="Q183" i="1"/>
  <c r="R183" i="1"/>
  <c r="S183" i="1"/>
  <c r="Q184" i="1"/>
  <c r="R184" i="1"/>
  <c r="S184" i="1"/>
  <c r="Q185" i="1"/>
  <c r="R185" i="1"/>
  <c r="S185" i="1"/>
  <c r="Q186" i="1"/>
  <c r="R186" i="1"/>
  <c r="S186" i="1"/>
  <c r="Q187" i="1"/>
  <c r="R187" i="1"/>
  <c r="S187" i="1"/>
  <c r="Q188" i="1"/>
  <c r="R188" i="1"/>
  <c r="S188" i="1"/>
  <c r="Q189" i="1"/>
  <c r="R189" i="1"/>
  <c r="S189" i="1"/>
  <c r="V189" i="1" s="1"/>
  <c r="Q190" i="1"/>
  <c r="R190" i="1"/>
  <c r="S190" i="1"/>
  <c r="Q191" i="1"/>
  <c r="R191" i="1"/>
  <c r="S191" i="1"/>
  <c r="Q192" i="1"/>
  <c r="R192" i="1"/>
  <c r="S192" i="1"/>
  <c r="Q193" i="1"/>
  <c r="R193" i="1"/>
  <c r="S193" i="1"/>
  <c r="Q194" i="1"/>
  <c r="R194" i="1"/>
  <c r="S194" i="1"/>
  <c r="Q195" i="1"/>
  <c r="R195" i="1"/>
  <c r="S195" i="1"/>
  <c r="Q196" i="1"/>
  <c r="R196" i="1"/>
  <c r="S196" i="1"/>
  <c r="Q197" i="1"/>
  <c r="R197" i="1"/>
  <c r="S197" i="1"/>
  <c r="V197" i="1" s="1"/>
  <c r="Q198" i="1"/>
  <c r="R198" i="1"/>
  <c r="S198" i="1"/>
  <c r="Q199" i="1"/>
  <c r="R199" i="1"/>
  <c r="S199" i="1"/>
  <c r="Q200" i="1"/>
  <c r="R200" i="1"/>
  <c r="S200" i="1"/>
  <c r="Q201" i="1"/>
  <c r="R201" i="1"/>
  <c r="S201" i="1"/>
  <c r="Q202" i="1"/>
  <c r="R202" i="1"/>
  <c r="S202" i="1"/>
  <c r="Q203" i="1"/>
  <c r="R203" i="1"/>
  <c r="S203" i="1"/>
  <c r="Q204" i="1"/>
  <c r="R204" i="1"/>
  <c r="S204" i="1"/>
  <c r="Q205" i="1"/>
  <c r="R205" i="1"/>
  <c r="S205" i="1"/>
  <c r="V205" i="1" s="1"/>
  <c r="Q206" i="1"/>
  <c r="R206" i="1"/>
  <c r="S206" i="1"/>
  <c r="Q207" i="1"/>
  <c r="R207" i="1"/>
  <c r="S207" i="1"/>
  <c r="Q208" i="1"/>
  <c r="R208" i="1"/>
  <c r="S208" i="1"/>
  <c r="Q209" i="1"/>
  <c r="R209" i="1"/>
  <c r="S209" i="1"/>
  <c r="Q210" i="1"/>
  <c r="R210" i="1"/>
  <c r="S210" i="1"/>
  <c r="Q211" i="1"/>
  <c r="R211" i="1"/>
  <c r="S211" i="1"/>
  <c r="Q212" i="1"/>
  <c r="R212" i="1"/>
  <c r="S212" i="1"/>
  <c r="Q213" i="1"/>
  <c r="R213" i="1"/>
  <c r="S213" i="1"/>
  <c r="V213" i="1" s="1"/>
  <c r="Q214" i="1"/>
  <c r="R214" i="1"/>
  <c r="S214" i="1"/>
  <c r="Q215" i="1"/>
  <c r="R215" i="1"/>
  <c r="S215" i="1"/>
  <c r="Q216" i="1"/>
  <c r="R216" i="1"/>
  <c r="S216" i="1"/>
  <c r="Q217" i="1"/>
  <c r="R217" i="1"/>
  <c r="S217" i="1"/>
  <c r="Q218" i="1"/>
  <c r="R218" i="1"/>
  <c r="S218" i="1"/>
  <c r="Q219" i="1"/>
  <c r="T219" i="1" s="1"/>
  <c r="R219" i="1"/>
  <c r="S219" i="1"/>
  <c r="Q220" i="1"/>
  <c r="R220" i="1"/>
  <c r="S220" i="1"/>
  <c r="Q221" i="1"/>
  <c r="R221" i="1"/>
  <c r="S221" i="1"/>
  <c r="V221" i="1" s="1"/>
  <c r="Q222" i="1"/>
  <c r="R222" i="1"/>
  <c r="S222" i="1"/>
  <c r="Q223" i="1"/>
  <c r="R223" i="1"/>
  <c r="S223" i="1"/>
  <c r="Q224" i="1"/>
  <c r="R224" i="1"/>
  <c r="S224" i="1"/>
  <c r="Q225" i="1"/>
  <c r="R225" i="1"/>
  <c r="S225" i="1"/>
  <c r="Q226" i="1"/>
  <c r="R226" i="1"/>
  <c r="S226" i="1"/>
  <c r="Q227" i="1"/>
  <c r="T227" i="1" s="1"/>
  <c r="R227" i="1"/>
  <c r="S227" i="1"/>
  <c r="Q228" i="1"/>
  <c r="R228" i="1"/>
  <c r="S228" i="1"/>
  <c r="Q229" i="1"/>
  <c r="R229" i="1"/>
  <c r="S229" i="1"/>
  <c r="V229" i="1" s="1"/>
  <c r="Q230" i="1"/>
  <c r="R230" i="1"/>
  <c r="S230" i="1"/>
  <c r="Q231" i="1"/>
  <c r="R231" i="1"/>
  <c r="S231" i="1"/>
  <c r="Q232" i="1"/>
  <c r="R232" i="1"/>
  <c r="S232" i="1"/>
  <c r="Q233" i="1"/>
  <c r="R233" i="1"/>
  <c r="S233" i="1"/>
  <c r="Q234" i="1"/>
  <c r="R234" i="1"/>
  <c r="S234" i="1"/>
  <c r="Q235" i="1"/>
  <c r="T235" i="1" s="1"/>
  <c r="R235" i="1"/>
  <c r="S235" i="1"/>
  <c r="Q236" i="1"/>
  <c r="R236" i="1"/>
  <c r="S236" i="1"/>
  <c r="Q237" i="1"/>
  <c r="R237" i="1"/>
  <c r="S237" i="1"/>
  <c r="V237" i="1" s="1"/>
  <c r="Q238" i="1"/>
  <c r="R238" i="1"/>
  <c r="S238" i="1"/>
  <c r="Q239" i="1"/>
  <c r="R239" i="1"/>
  <c r="S239" i="1"/>
  <c r="Q240" i="1"/>
  <c r="R240" i="1"/>
  <c r="S240" i="1"/>
  <c r="Q241" i="1"/>
  <c r="R241" i="1"/>
  <c r="S241" i="1"/>
  <c r="Q242" i="1"/>
  <c r="R242" i="1"/>
  <c r="S242" i="1"/>
  <c r="Q243" i="1"/>
  <c r="T243" i="1" s="1"/>
  <c r="R243" i="1"/>
  <c r="S243" i="1"/>
  <c r="Q244" i="1"/>
  <c r="R244" i="1"/>
  <c r="S244" i="1"/>
  <c r="Q245" i="1"/>
  <c r="R245" i="1"/>
  <c r="S245" i="1"/>
  <c r="V245" i="1" s="1"/>
  <c r="Q246" i="1"/>
  <c r="R246" i="1"/>
  <c r="S246" i="1"/>
  <c r="Q247" i="1"/>
  <c r="R247" i="1"/>
  <c r="S247" i="1"/>
  <c r="Q248" i="1"/>
  <c r="R248" i="1"/>
  <c r="S248" i="1"/>
  <c r="Q249" i="1"/>
  <c r="R249" i="1"/>
  <c r="S249" i="1"/>
  <c r="Q250" i="1"/>
  <c r="R250" i="1"/>
  <c r="S250" i="1"/>
  <c r="Q251" i="1"/>
  <c r="T251" i="1" s="1"/>
  <c r="R251" i="1"/>
  <c r="S251" i="1"/>
  <c r="Q252" i="1"/>
  <c r="R252" i="1"/>
  <c r="S252" i="1"/>
  <c r="Q253" i="1"/>
  <c r="R253" i="1"/>
  <c r="S253" i="1"/>
  <c r="V253" i="1" s="1"/>
  <c r="Q254" i="1"/>
  <c r="R254" i="1"/>
  <c r="S254" i="1"/>
  <c r="Q255" i="1"/>
  <c r="R255" i="1"/>
  <c r="S255" i="1"/>
  <c r="Q256" i="1"/>
  <c r="R256" i="1"/>
  <c r="S256" i="1"/>
  <c r="Q257" i="1"/>
  <c r="R257" i="1"/>
  <c r="S257" i="1"/>
  <c r="Q258" i="1"/>
  <c r="R258" i="1"/>
  <c r="S258" i="1"/>
  <c r="Q259" i="1"/>
  <c r="T259" i="1" s="1"/>
  <c r="R259" i="1"/>
  <c r="S259" i="1"/>
  <c r="Q260" i="1"/>
  <c r="R260" i="1"/>
  <c r="S260" i="1"/>
  <c r="Q261" i="1"/>
  <c r="R261" i="1"/>
  <c r="S261" i="1"/>
  <c r="V261" i="1" s="1"/>
  <c r="Q262" i="1"/>
  <c r="R262" i="1"/>
  <c r="S262" i="1"/>
  <c r="Q263" i="1"/>
  <c r="R263" i="1"/>
  <c r="S263" i="1"/>
  <c r="Q264" i="1"/>
  <c r="R264" i="1"/>
  <c r="S264" i="1"/>
  <c r="Q265" i="1"/>
  <c r="R265" i="1"/>
  <c r="S265" i="1"/>
  <c r="Q266" i="1"/>
  <c r="R266" i="1"/>
  <c r="S266" i="1"/>
  <c r="Q267" i="1"/>
  <c r="T267" i="1" s="1"/>
  <c r="R267" i="1"/>
  <c r="S267" i="1"/>
  <c r="Q268" i="1"/>
  <c r="R268" i="1"/>
  <c r="S268" i="1"/>
  <c r="Q269" i="1"/>
  <c r="R269" i="1"/>
  <c r="S269" i="1"/>
  <c r="V269" i="1" s="1"/>
  <c r="Q270" i="1"/>
  <c r="R270" i="1"/>
  <c r="S270" i="1"/>
  <c r="Q271" i="1"/>
  <c r="R271" i="1"/>
  <c r="S271" i="1"/>
  <c r="Q272" i="1"/>
  <c r="R272" i="1"/>
  <c r="S272" i="1"/>
  <c r="Q273" i="1"/>
  <c r="R273" i="1"/>
  <c r="S273" i="1"/>
  <c r="Q274" i="1"/>
  <c r="R274" i="1"/>
  <c r="S274" i="1"/>
  <c r="Q275" i="1"/>
  <c r="T275" i="1" s="1"/>
  <c r="R275" i="1"/>
  <c r="S275" i="1"/>
  <c r="Q276" i="1"/>
  <c r="R276" i="1"/>
  <c r="S276" i="1"/>
  <c r="Q277" i="1"/>
  <c r="R277" i="1"/>
  <c r="S277" i="1"/>
  <c r="V277" i="1" s="1"/>
  <c r="Q278" i="1"/>
  <c r="R278" i="1"/>
  <c r="S278" i="1"/>
  <c r="Q279" i="1"/>
  <c r="R279" i="1"/>
  <c r="S279" i="1"/>
  <c r="Q280" i="1"/>
  <c r="R280" i="1"/>
  <c r="S280" i="1"/>
  <c r="Q281" i="1"/>
  <c r="R281" i="1"/>
  <c r="S281" i="1"/>
  <c r="Q282" i="1"/>
  <c r="R282" i="1"/>
  <c r="S282" i="1"/>
  <c r="Q283" i="1"/>
  <c r="T283" i="1" s="1"/>
  <c r="R283" i="1"/>
  <c r="S283" i="1"/>
  <c r="Q284" i="1"/>
  <c r="R284" i="1"/>
  <c r="S284" i="1"/>
  <c r="Q285" i="1"/>
  <c r="R285" i="1"/>
  <c r="S285" i="1"/>
  <c r="V285" i="1" s="1"/>
  <c r="Q286" i="1"/>
  <c r="R286" i="1"/>
  <c r="S286" i="1"/>
  <c r="Q287" i="1"/>
  <c r="R287" i="1"/>
  <c r="S287" i="1"/>
  <c r="Q288" i="1"/>
  <c r="R288" i="1"/>
  <c r="S288" i="1"/>
  <c r="Q289" i="1"/>
  <c r="R289" i="1"/>
  <c r="S289" i="1"/>
  <c r="Q290" i="1"/>
  <c r="R290" i="1"/>
  <c r="S290" i="1"/>
  <c r="Q291" i="1"/>
  <c r="T291" i="1" s="1"/>
  <c r="R291" i="1"/>
  <c r="S291" i="1"/>
  <c r="Q292" i="1"/>
  <c r="R292" i="1"/>
  <c r="S292" i="1"/>
  <c r="Q293" i="1"/>
  <c r="R293" i="1"/>
  <c r="S293" i="1"/>
  <c r="V293" i="1" s="1"/>
  <c r="Q294" i="1"/>
  <c r="R294" i="1"/>
  <c r="S294" i="1"/>
  <c r="Q295" i="1"/>
  <c r="R295" i="1"/>
  <c r="S295" i="1"/>
  <c r="Q296" i="1"/>
  <c r="R296" i="1"/>
  <c r="S296" i="1"/>
  <c r="Q297" i="1"/>
  <c r="R297" i="1"/>
  <c r="S297" i="1"/>
  <c r="V297" i="1" s="1"/>
  <c r="Q298" i="1"/>
  <c r="R298" i="1"/>
  <c r="S298" i="1"/>
  <c r="Q299" i="1"/>
  <c r="T299" i="1" s="1"/>
  <c r="R299" i="1"/>
  <c r="S299" i="1"/>
  <c r="Q300" i="1"/>
  <c r="R300" i="1"/>
  <c r="S300" i="1"/>
  <c r="Q301" i="1"/>
  <c r="R301" i="1"/>
  <c r="S301" i="1"/>
  <c r="V301" i="1" s="1"/>
  <c r="Q302" i="1"/>
  <c r="R302" i="1"/>
  <c r="S302" i="1"/>
  <c r="Q303" i="1"/>
  <c r="R303" i="1"/>
  <c r="S303" i="1"/>
  <c r="Q304" i="1"/>
  <c r="R304" i="1"/>
  <c r="U304" i="1" s="1"/>
  <c r="X304" i="1" s="1"/>
  <c r="S304" i="1"/>
  <c r="Q305" i="1"/>
  <c r="R305" i="1"/>
  <c r="S305" i="1"/>
  <c r="V305" i="1" s="1"/>
  <c r="Q306" i="1"/>
  <c r="T306" i="1" s="1"/>
  <c r="R306" i="1"/>
  <c r="S306" i="1"/>
  <c r="Q307" i="1"/>
  <c r="T307" i="1" s="1"/>
  <c r="R307" i="1"/>
  <c r="S307" i="1"/>
  <c r="Q308" i="1"/>
  <c r="R308" i="1"/>
  <c r="S308" i="1"/>
  <c r="V308" i="1" s="1"/>
  <c r="Q309" i="1"/>
  <c r="R309" i="1"/>
  <c r="S309" i="1"/>
  <c r="V309" i="1" s="1"/>
  <c r="Q310" i="1"/>
  <c r="R310" i="1"/>
  <c r="S310" i="1"/>
  <c r="Q311" i="1"/>
  <c r="R311" i="1"/>
  <c r="S311" i="1"/>
  <c r="Q312" i="1"/>
  <c r="R312" i="1"/>
  <c r="U312" i="1" s="1"/>
  <c r="X312" i="1" s="1"/>
  <c r="S312" i="1"/>
  <c r="V312" i="1" s="1"/>
  <c r="Q313" i="1"/>
  <c r="R313" i="1"/>
  <c r="S313" i="1"/>
  <c r="V313" i="1" s="1"/>
  <c r="Q314" i="1"/>
  <c r="T314" i="1" s="1"/>
  <c r="R314" i="1"/>
  <c r="S314" i="1"/>
  <c r="Q315" i="1"/>
  <c r="T315" i="1" s="1"/>
  <c r="R315" i="1"/>
  <c r="S315" i="1"/>
  <c r="Q316" i="1"/>
  <c r="R316" i="1"/>
  <c r="S316" i="1"/>
  <c r="V316" i="1" s="1"/>
  <c r="Q317" i="1"/>
  <c r="R317" i="1"/>
  <c r="S317" i="1"/>
  <c r="V317" i="1" s="1"/>
  <c r="Q318" i="1"/>
  <c r="T318" i="1" s="1"/>
  <c r="R318" i="1"/>
  <c r="S318" i="1"/>
  <c r="Q319" i="1"/>
  <c r="R319" i="1"/>
  <c r="S319" i="1"/>
  <c r="Q320" i="1"/>
  <c r="R320" i="1"/>
  <c r="U320" i="1" s="1"/>
  <c r="X320" i="1" s="1"/>
  <c r="S320" i="1"/>
  <c r="V320" i="1" s="1"/>
  <c r="Q321" i="1"/>
  <c r="R321" i="1"/>
  <c r="S321" i="1"/>
  <c r="V321" i="1" s="1"/>
  <c r="Q322" i="1"/>
  <c r="T322" i="1" s="1"/>
  <c r="R322" i="1"/>
  <c r="S322" i="1"/>
  <c r="Q323" i="1"/>
  <c r="T323" i="1" s="1"/>
  <c r="R323" i="1"/>
  <c r="U323" i="1" s="1"/>
  <c r="X323" i="1" s="1"/>
  <c r="S323" i="1"/>
  <c r="Q324" i="1"/>
  <c r="R324" i="1"/>
  <c r="S324" i="1"/>
  <c r="V324" i="1" s="1"/>
  <c r="Q325" i="1"/>
  <c r="R325" i="1"/>
  <c r="S325" i="1"/>
  <c r="V325" i="1" s="1"/>
  <c r="Q326" i="1"/>
  <c r="T326" i="1" s="1"/>
  <c r="R326" i="1"/>
  <c r="U326" i="1" s="1"/>
  <c r="X326" i="1" s="1"/>
  <c r="S326" i="1"/>
  <c r="Q327" i="1"/>
  <c r="R327" i="1"/>
  <c r="S327" i="1"/>
  <c r="Q328" i="1"/>
  <c r="R328" i="1"/>
  <c r="U328" i="1" s="1"/>
  <c r="X328" i="1" s="1"/>
  <c r="S328" i="1"/>
  <c r="V328" i="1" s="1"/>
  <c r="Q329" i="1"/>
  <c r="R329" i="1"/>
  <c r="S329" i="1"/>
  <c r="V329" i="1" s="1"/>
  <c r="Q330" i="1"/>
  <c r="T330" i="1" s="1"/>
  <c r="R330" i="1"/>
  <c r="S330" i="1"/>
  <c r="Q331" i="1"/>
  <c r="T331" i="1" s="1"/>
  <c r="R331" i="1"/>
  <c r="S331" i="1"/>
  <c r="Q332" i="1"/>
  <c r="R332" i="1"/>
  <c r="S332" i="1"/>
  <c r="V332" i="1" s="1"/>
  <c r="Q333" i="1"/>
  <c r="R333" i="1"/>
  <c r="S333" i="1"/>
  <c r="V333" i="1" s="1"/>
  <c r="Q334" i="1"/>
  <c r="T334" i="1" s="1"/>
  <c r="R334" i="1"/>
  <c r="U334" i="1" s="1"/>
  <c r="X334" i="1" s="1"/>
  <c r="S334" i="1"/>
  <c r="Q335" i="1"/>
  <c r="R335" i="1"/>
  <c r="U335" i="1" s="1"/>
  <c r="X335" i="1" s="1"/>
  <c r="S335" i="1"/>
  <c r="Q336" i="1"/>
  <c r="R336" i="1"/>
  <c r="U336" i="1" s="1"/>
  <c r="X336" i="1" s="1"/>
  <c r="S336" i="1"/>
  <c r="V336" i="1" s="1"/>
  <c r="Q337" i="1"/>
  <c r="R337" i="1"/>
  <c r="S337" i="1"/>
  <c r="V337" i="1" s="1"/>
  <c r="Q338" i="1"/>
  <c r="T338" i="1" s="1"/>
  <c r="R338" i="1"/>
  <c r="S338" i="1"/>
  <c r="Q339" i="1"/>
  <c r="T339" i="1" s="1"/>
  <c r="R339" i="1"/>
  <c r="U339" i="1" s="1"/>
  <c r="X339" i="1" s="1"/>
  <c r="S339" i="1"/>
  <c r="Q340" i="1"/>
  <c r="R340" i="1"/>
  <c r="S340" i="1"/>
  <c r="V340" i="1" s="1"/>
  <c r="S70" i="1"/>
  <c r="V70" i="1" s="1"/>
  <c r="R70" i="1"/>
  <c r="U70" i="1" s="1"/>
  <c r="X70" i="1" s="1"/>
  <c r="Q70" i="1"/>
  <c r="T70" i="1"/>
  <c r="D12" i="2"/>
  <c r="U3" i="1"/>
  <c r="V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X10" i="1" s="1"/>
  <c r="V10" i="1"/>
  <c r="U11" i="1"/>
  <c r="V11" i="1"/>
  <c r="U12" i="1"/>
  <c r="V12" i="1"/>
  <c r="U13" i="1"/>
  <c r="V13" i="1"/>
  <c r="U14" i="1"/>
  <c r="X14" i="1" s="1"/>
  <c r="V14" i="1"/>
  <c r="U15" i="1"/>
  <c r="V15" i="1"/>
  <c r="U16" i="1"/>
  <c r="V16" i="1"/>
  <c r="U17" i="1"/>
  <c r="V17" i="1"/>
  <c r="U18" i="1"/>
  <c r="X18" i="1" s="1"/>
  <c r="V18" i="1"/>
  <c r="U19" i="1"/>
  <c r="V19" i="1"/>
  <c r="U20" i="1"/>
  <c r="V20" i="1"/>
  <c r="U21" i="1"/>
  <c r="V21" i="1"/>
  <c r="U22" i="1"/>
  <c r="X22" i="1" s="1"/>
  <c r="V22" i="1"/>
  <c r="U23" i="1"/>
  <c r="V23" i="1"/>
  <c r="U24" i="1"/>
  <c r="V24" i="1"/>
  <c r="U25" i="1"/>
  <c r="V25" i="1"/>
  <c r="U26" i="1"/>
  <c r="X26" i="1" s="1"/>
  <c r="V26" i="1"/>
  <c r="U27" i="1"/>
  <c r="V27" i="1"/>
  <c r="U28" i="1"/>
  <c r="V28" i="1"/>
  <c r="U29" i="1"/>
  <c r="V29" i="1"/>
  <c r="U30" i="1"/>
  <c r="X30" i="1" s="1"/>
  <c r="V30" i="1"/>
  <c r="U31" i="1"/>
  <c r="V31" i="1"/>
  <c r="U32" i="1"/>
  <c r="V32" i="1"/>
  <c r="U33" i="1"/>
  <c r="V33" i="1"/>
  <c r="U34" i="1"/>
  <c r="X34" i="1" s="1"/>
  <c r="V34" i="1"/>
  <c r="U35" i="1"/>
  <c r="V35" i="1"/>
  <c r="U36" i="1"/>
  <c r="V36" i="1"/>
  <c r="U37" i="1"/>
  <c r="V37" i="1"/>
  <c r="U38" i="1"/>
  <c r="X38" i="1" s="1"/>
  <c r="V38" i="1"/>
  <c r="U39" i="1"/>
  <c r="V39" i="1"/>
  <c r="U40" i="1"/>
  <c r="V40" i="1"/>
  <c r="U41" i="1"/>
  <c r="V41" i="1"/>
  <c r="U42" i="1"/>
  <c r="X42" i="1" s="1"/>
  <c r="V42" i="1"/>
  <c r="U43" i="1"/>
  <c r="V43" i="1"/>
  <c r="U44" i="1"/>
  <c r="V44" i="1"/>
  <c r="U45" i="1"/>
  <c r="V45" i="1"/>
  <c r="U46" i="1"/>
  <c r="X46" i="1" s="1"/>
  <c r="V46" i="1"/>
  <c r="U47" i="1"/>
  <c r="V47" i="1"/>
  <c r="U48" i="1"/>
  <c r="V48" i="1"/>
  <c r="U49" i="1"/>
  <c r="V49" i="1"/>
  <c r="U50" i="1"/>
  <c r="X50" i="1" s="1"/>
  <c r="V50" i="1"/>
  <c r="U51" i="1"/>
  <c r="V51" i="1"/>
  <c r="U52" i="1"/>
  <c r="V52" i="1"/>
  <c r="U53" i="1"/>
  <c r="V53" i="1"/>
  <c r="U54" i="1"/>
  <c r="X54" i="1" s="1"/>
  <c r="V54" i="1"/>
  <c r="U55" i="1"/>
  <c r="V55" i="1"/>
  <c r="U56" i="1"/>
  <c r="V56" i="1"/>
  <c r="U57" i="1"/>
  <c r="V57" i="1"/>
  <c r="U58" i="1"/>
  <c r="X58" i="1" s="1"/>
  <c r="V58" i="1"/>
  <c r="U59" i="1"/>
  <c r="V59" i="1"/>
  <c r="U60" i="1"/>
  <c r="V60" i="1"/>
  <c r="U61" i="1"/>
  <c r="V61" i="1"/>
  <c r="U62" i="1"/>
  <c r="X62" i="1" s="1"/>
  <c r="V62" i="1"/>
  <c r="U63" i="1"/>
  <c r="V63" i="1"/>
  <c r="U64" i="1"/>
  <c r="V64" i="1"/>
  <c r="U65" i="1"/>
  <c r="V65" i="1"/>
  <c r="U66" i="1"/>
  <c r="X66" i="1" s="1"/>
  <c r="V66" i="1"/>
  <c r="U67" i="1"/>
  <c r="V67" i="1"/>
  <c r="U68" i="1"/>
  <c r="V68" i="1"/>
  <c r="U69" i="1"/>
  <c r="V69" i="1"/>
  <c r="U71" i="1"/>
  <c r="X71" i="1" s="1"/>
  <c r="V71" i="1"/>
  <c r="U72" i="1"/>
  <c r="V72" i="1"/>
  <c r="U73" i="1"/>
  <c r="X73" i="1" s="1"/>
  <c r="V73" i="1"/>
  <c r="U74" i="1"/>
  <c r="X74" i="1" s="1"/>
  <c r="V74" i="1"/>
  <c r="U75" i="1"/>
  <c r="X75" i="1" s="1"/>
  <c r="V75" i="1"/>
  <c r="U76" i="1"/>
  <c r="V76" i="1"/>
  <c r="U77" i="1"/>
  <c r="X77" i="1" s="1"/>
  <c r="V77" i="1"/>
  <c r="U78" i="1"/>
  <c r="X78" i="1" s="1"/>
  <c r="V78" i="1"/>
  <c r="U79" i="1"/>
  <c r="X79" i="1" s="1"/>
  <c r="V79" i="1"/>
  <c r="U80" i="1"/>
  <c r="V80" i="1"/>
  <c r="U81" i="1"/>
  <c r="X81" i="1" s="1"/>
  <c r="V81" i="1"/>
  <c r="U82" i="1"/>
  <c r="X82" i="1" s="1"/>
  <c r="V82" i="1"/>
  <c r="U83" i="1"/>
  <c r="X83" i="1" s="1"/>
  <c r="V83" i="1"/>
  <c r="U84" i="1"/>
  <c r="V84" i="1"/>
  <c r="U85" i="1"/>
  <c r="X85" i="1" s="1"/>
  <c r="V85" i="1"/>
  <c r="U86" i="1"/>
  <c r="X86" i="1" s="1"/>
  <c r="V86" i="1"/>
  <c r="U87" i="1"/>
  <c r="X87" i="1" s="1"/>
  <c r="V87" i="1"/>
  <c r="U88" i="1"/>
  <c r="V88" i="1"/>
  <c r="U89" i="1"/>
  <c r="X89" i="1" s="1"/>
  <c r="V89" i="1"/>
  <c r="U90" i="1"/>
  <c r="X90" i="1" s="1"/>
  <c r="V90" i="1"/>
  <c r="U91" i="1"/>
  <c r="X91" i="1" s="1"/>
  <c r="V91" i="1"/>
  <c r="U92" i="1"/>
  <c r="V92" i="1"/>
  <c r="U93" i="1"/>
  <c r="X93" i="1" s="1"/>
  <c r="V93" i="1"/>
  <c r="U94" i="1"/>
  <c r="X94" i="1" s="1"/>
  <c r="V94" i="1"/>
  <c r="U95" i="1"/>
  <c r="X95" i="1" s="1"/>
  <c r="V95" i="1"/>
  <c r="U96" i="1"/>
  <c r="V96" i="1"/>
  <c r="U97" i="1"/>
  <c r="V97" i="1"/>
  <c r="U98" i="1"/>
  <c r="X98" i="1" s="1"/>
  <c r="V98" i="1"/>
  <c r="U99" i="1"/>
  <c r="X99" i="1" s="1"/>
  <c r="V99" i="1"/>
  <c r="U100" i="1"/>
  <c r="V100" i="1"/>
  <c r="U101" i="1"/>
  <c r="X101" i="1" s="1"/>
  <c r="V101" i="1"/>
  <c r="U102" i="1"/>
  <c r="X102" i="1" s="1"/>
  <c r="V102" i="1"/>
  <c r="U103" i="1"/>
  <c r="X103" i="1" s="1"/>
  <c r="V103" i="1"/>
  <c r="U104" i="1"/>
  <c r="X104" i="1" s="1"/>
  <c r="V104" i="1"/>
  <c r="U105" i="1"/>
  <c r="X105" i="1" s="1"/>
  <c r="V105" i="1"/>
  <c r="U106" i="1"/>
  <c r="X106" i="1" s="1"/>
  <c r="V106" i="1"/>
  <c r="U107" i="1"/>
  <c r="X107" i="1" s="1"/>
  <c r="V107" i="1"/>
  <c r="U108" i="1"/>
  <c r="V108" i="1"/>
  <c r="U109" i="1"/>
  <c r="X109" i="1" s="1"/>
  <c r="V109" i="1"/>
  <c r="U110" i="1"/>
  <c r="X110" i="1" s="1"/>
  <c r="V110" i="1"/>
  <c r="U111" i="1"/>
  <c r="X111" i="1" s="1"/>
  <c r="V111" i="1"/>
  <c r="U112" i="1"/>
  <c r="V112" i="1"/>
  <c r="U113" i="1"/>
  <c r="V113" i="1"/>
  <c r="U114" i="1"/>
  <c r="X114" i="1" s="1"/>
  <c r="V114" i="1"/>
  <c r="U115" i="1"/>
  <c r="X115" i="1" s="1"/>
  <c r="V115" i="1"/>
  <c r="U116" i="1"/>
  <c r="X116" i="1" s="1"/>
  <c r="V116" i="1"/>
  <c r="U117" i="1"/>
  <c r="X117" i="1" s="1"/>
  <c r="V117" i="1"/>
  <c r="U118" i="1"/>
  <c r="X118" i="1" s="1"/>
  <c r="V118" i="1"/>
  <c r="U119" i="1"/>
  <c r="X119" i="1" s="1"/>
  <c r="V119" i="1"/>
  <c r="U120" i="1"/>
  <c r="V120" i="1"/>
  <c r="U121" i="1"/>
  <c r="X121" i="1" s="1"/>
  <c r="V121" i="1"/>
  <c r="U122" i="1"/>
  <c r="X122" i="1" s="1"/>
  <c r="V122" i="1"/>
  <c r="U123" i="1"/>
  <c r="X123" i="1" s="1"/>
  <c r="V123" i="1"/>
  <c r="U124" i="1"/>
  <c r="V124" i="1"/>
  <c r="U125" i="1"/>
  <c r="X125" i="1" s="1"/>
  <c r="V125" i="1"/>
  <c r="U126" i="1"/>
  <c r="X126" i="1" s="1"/>
  <c r="V126" i="1"/>
  <c r="U127" i="1"/>
  <c r="X127" i="1" s="1"/>
  <c r="V127" i="1"/>
  <c r="U128" i="1"/>
  <c r="V128" i="1"/>
  <c r="U129" i="1"/>
  <c r="X129" i="1" s="1"/>
  <c r="V129" i="1"/>
  <c r="U130" i="1"/>
  <c r="X130" i="1" s="1"/>
  <c r="V130" i="1"/>
  <c r="U131" i="1"/>
  <c r="X131" i="1" s="1"/>
  <c r="V131" i="1"/>
  <c r="U132" i="1"/>
  <c r="V132" i="1"/>
  <c r="U133" i="1"/>
  <c r="X133" i="1" s="1"/>
  <c r="V133" i="1"/>
  <c r="U134" i="1"/>
  <c r="X134" i="1" s="1"/>
  <c r="V134" i="1"/>
  <c r="U135" i="1"/>
  <c r="V135" i="1"/>
  <c r="U136" i="1"/>
  <c r="X136" i="1" s="1"/>
  <c r="V136" i="1"/>
  <c r="U137" i="1"/>
  <c r="X137" i="1" s="1"/>
  <c r="V137" i="1"/>
  <c r="U138" i="1"/>
  <c r="X138" i="1" s="1"/>
  <c r="V138" i="1"/>
  <c r="U139" i="1"/>
  <c r="X139" i="1" s="1"/>
  <c r="V139" i="1"/>
  <c r="U140" i="1"/>
  <c r="V140" i="1"/>
  <c r="U141" i="1"/>
  <c r="X141" i="1" s="1"/>
  <c r="U142" i="1"/>
  <c r="X142" i="1" s="1"/>
  <c r="V142" i="1"/>
  <c r="U143" i="1"/>
  <c r="X143" i="1" s="1"/>
  <c r="V143" i="1"/>
  <c r="U144" i="1"/>
  <c r="V144" i="1"/>
  <c r="U145" i="1"/>
  <c r="V145" i="1"/>
  <c r="U146" i="1"/>
  <c r="X146" i="1" s="1"/>
  <c r="V146" i="1"/>
  <c r="U147" i="1"/>
  <c r="X147" i="1" s="1"/>
  <c r="V147" i="1"/>
  <c r="U148" i="1"/>
  <c r="X148" i="1" s="1"/>
  <c r="V148" i="1"/>
  <c r="U149" i="1"/>
  <c r="X149" i="1" s="1"/>
  <c r="U150" i="1"/>
  <c r="X150" i="1" s="1"/>
  <c r="V150" i="1"/>
  <c r="U151" i="1"/>
  <c r="V151" i="1"/>
  <c r="U152" i="1"/>
  <c r="V152" i="1"/>
  <c r="U153" i="1"/>
  <c r="X153" i="1" s="1"/>
  <c r="V153" i="1"/>
  <c r="U154" i="1"/>
  <c r="X154" i="1" s="1"/>
  <c r="V154" i="1"/>
  <c r="U155" i="1"/>
  <c r="X155" i="1" s="1"/>
  <c r="V155" i="1"/>
  <c r="U156" i="1"/>
  <c r="V156" i="1"/>
  <c r="U157" i="1"/>
  <c r="X157" i="1" s="1"/>
  <c r="U158" i="1"/>
  <c r="X158" i="1" s="1"/>
  <c r="V158" i="1"/>
  <c r="U159" i="1"/>
  <c r="X159" i="1" s="1"/>
  <c r="V159" i="1"/>
  <c r="U160" i="1"/>
  <c r="V160" i="1"/>
  <c r="U161" i="1"/>
  <c r="X161" i="1" s="1"/>
  <c r="V161" i="1"/>
  <c r="U162" i="1"/>
  <c r="X162" i="1" s="1"/>
  <c r="V162" i="1"/>
  <c r="U163" i="1"/>
  <c r="X163" i="1" s="1"/>
  <c r="V163" i="1"/>
  <c r="U164" i="1"/>
  <c r="V164" i="1"/>
  <c r="U165" i="1"/>
  <c r="X165" i="1" s="1"/>
  <c r="U166" i="1"/>
  <c r="X166" i="1" s="1"/>
  <c r="V166" i="1"/>
  <c r="U167" i="1"/>
  <c r="X167" i="1" s="1"/>
  <c r="V167" i="1"/>
  <c r="U168" i="1"/>
  <c r="X168" i="1" s="1"/>
  <c r="V168" i="1"/>
  <c r="U169" i="1"/>
  <c r="X169" i="1" s="1"/>
  <c r="V169" i="1"/>
  <c r="U170" i="1"/>
  <c r="X170" i="1" s="1"/>
  <c r="V170" i="1"/>
  <c r="U171" i="1"/>
  <c r="X171" i="1" s="1"/>
  <c r="V171" i="1"/>
  <c r="U172" i="1"/>
  <c r="V172" i="1"/>
  <c r="U173" i="1"/>
  <c r="X173" i="1" s="1"/>
  <c r="U174" i="1"/>
  <c r="X174" i="1" s="1"/>
  <c r="V174" i="1"/>
  <c r="U175" i="1"/>
  <c r="X175" i="1" s="1"/>
  <c r="V175" i="1"/>
  <c r="U176" i="1"/>
  <c r="V176" i="1"/>
  <c r="U177" i="1"/>
  <c r="X177" i="1" s="1"/>
  <c r="V177" i="1"/>
  <c r="U178" i="1"/>
  <c r="X178" i="1" s="1"/>
  <c r="V178" i="1"/>
  <c r="U179" i="1"/>
  <c r="X179" i="1" s="1"/>
  <c r="V179" i="1"/>
  <c r="U180" i="1"/>
  <c r="X180" i="1" s="1"/>
  <c r="V180" i="1"/>
  <c r="U181" i="1"/>
  <c r="X181" i="1" s="1"/>
  <c r="U182" i="1"/>
  <c r="X182" i="1" s="1"/>
  <c r="V182" i="1"/>
  <c r="U183" i="1"/>
  <c r="V183" i="1"/>
  <c r="U184" i="1"/>
  <c r="V184" i="1"/>
  <c r="U185" i="1"/>
  <c r="X185" i="1" s="1"/>
  <c r="V185" i="1"/>
  <c r="U186" i="1"/>
  <c r="X186" i="1" s="1"/>
  <c r="V186" i="1"/>
  <c r="U187" i="1"/>
  <c r="X187" i="1" s="1"/>
  <c r="V187" i="1"/>
  <c r="U188" i="1"/>
  <c r="V188" i="1"/>
  <c r="U189" i="1"/>
  <c r="X189" i="1" s="1"/>
  <c r="U190" i="1"/>
  <c r="X190" i="1" s="1"/>
  <c r="V190" i="1"/>
  <c r="U191" i="1"/>
  <c r="X191" i="1" s="1"/>
  <c r="V191" i="1"/>
  <c r="U192" i="1"/>
  <c r="V192" i="1"/>
  <c r="U193" i="1"/>
  <c r="V193" i="1"/>
  <c r="U194" i="1"/>
  <c r="X194" i="1" s="1"/>
  <c r="V194" i="1"/>
  <c r="U195" i="1"/>
  <c r="X195" i="1" s="1"/>
  <c r="V195" i="1"/>
  <c r="U196" i="1"/>
  <c r="V196" i="1"/>
  <c r="U197" i="1"/>
  <c r="X197" i="1" s="1"/>
  <c r="U198" i="1"/>
  <c r="X198" i="1" s="1"/>
  <c r="V198" i="1"/>
  <c r="U199" i="1"/>
  <c r="X199" i="1" s="1"/>
  <c r="V199" i="1"/>
  <c r="U200" i="1"/>
  <c r="X200" i="1" s="1"/>
  <c r="V200" i="1"/>
  <c r="U201" i="1"/>
  <c r="X201" i="1" s="1"/>
  <c r="V201" i="1"/>
  <c r="U202" i="1"/>
  <c r="X202" i="1" s="1"/>
  <c r="V202" i="1"/>
  <c r="U203" i="1"/>
  <c r="X203" i="1" s="1"/>
  <c r="V203" i="1"/>
  <c r="U204" i="1"/>
  <c r="V204" i="1"/>
  <c r="U205" i="1"/>
  <c r="X205" i="1" s="1"/>
  <c r="U206" i="1"/>
  <c r="X206" i="1" s="1"/>
  <c r="V206" i="1"/>
  <c r="U207" i="1"/>
  <c r="X207" i="1" s="1"/>
  <c r="V207" i="1"/>
  <c r="U208" i="1"/>
  <c r="V208" i="1"/>
  <c r="U209" i="1"/>
  <c r="X209" i="1" s="1"/>
  <c r="V209" i="1"/>
  <c r="U210" i="1"/>
  <c r="X210" i="1" s="1"/>
  <c r="V210" i="1"/>
  <c r="U211" i="1"/>
  <c r="X211" i="1" s="1"/>
  <c r="V211" i="1"/>
  <c r="U212" i="1"/>
  <c r="V212" i="1"/>
  <c r="U213" i="1"/>
  <c r="U214" i="1"/>
  <c r="X214" i="1" s="1"/>
  <c r="V214" i="1"/>
  <c r="U215" i="1"/>
  <c r="X215" i="1" s="1"/>
  <c r="V215" i="1"/>
  <c r="U216" i="1"/>
  <c r="V216" i="1"/>
  <c r="U217" i="1"/>
  <c r="X217" i="1" s="1"/>
  <c r="V217" i="1"/>
  <c r="U218" i="1"/>
  <c r="X218" i="1" s="1"/>
  <c r="V218" i="1"/>
  <c r="U219" i="1"/>
  <c r="V219" i="1"/>
  <c r="U220" i="1"/>
  <c r="X220" i="1" s="1"/>
  <c r="V220" i="1"/>
  <c r="U221" i="1"/>
  <c r="X221" i="1" s="1"/>
  <c r="U222" i="1"/>
  <c r="X222" i="1" s="1"/>
  <c r="V222" i="1"/>
  <c r="U223" i="1"/>
  <c r="V223" i="1"/>
  <c r="U224" i="1"/>
  <c r="V224" i="1"/>
  <c r="U225" i="1"/>
  <c r="X225" i="1" s="1"/>
  <c r="V225" i="1"/>
  <c r="U226" i="1"/>
  <c r="X226" i="1" s="1"/>
  <c r="V226" i="1"/>
  <c r="U227" i="1"/>
  <c r="X227" i="1" s="1"/>
  <c r="V227" i="1"/>
  <c r="U228" i="1"/>
  <c r="V228" i="1"/>
  <c r="U229" i="1"/>
  <c r="U230" i="1"/>
  <c r="X230" i="1" s="1"/>
  <c r="V230" i="1"/>
  <c r="U231" i="1"/>
  <c r="X231" i="1" s="1"/>
  <c r="V231" i="1"/>
  <c r="U232" i="1"/>
  <c r="X232" i="1" s="1"/>
  <c r="V232" i="1"/>
  <c r="U233" i="1"/>
  <c r="X233" i="1" s="1"/>
  <c r="V233" i="1"/>
  <c r="U234" i="1"/>
  <c r="X234" i="1" s="1"/>
  <c r="V234" i="1"/>
  <c r="U235" i="1"/>
  <c r="X235" i="1" s="1"/>
  <c r="V235" i="1"/>
  <c r="U236" i="1"/>
  <c r="V236" i="1"/>
  <c r="U237" i="1"/>
  <c r="X237" i="1" s="1"/>
  <c r="U238" i="1"/>
  <c r="X238" i="1" s="1"/>
  <c r="V238" i="1"/>
  <c r="U239" i="1"/>
  <c r="X239" i="1" s="1"/>
  <c r="V239" i="1"/>
  <c r="U240" i="1"/>
  <c r="V240" i="1"/>
  <c r="U241" i="1"/>
  <c r="X241" i="1" s="1"/>
  <c r="V241" i="1"/>
  <c r="U242" i="1"/>
  <c r="X242" i="1" s="1"/>
  <c r="V242" i="1"/>
  <c r="U243" i="1"/>
  <c r="X243" i="1" s="1"/>
  <c r="V243" i="1"/>
  <c r="U244" i="1"/>
  <c r="V244" i="1"/>
  <c r="U245" i="1"/>
  <c r="U246" i="1"/>
  <c r="X246" i="1" s="1"/>
  <c r="V246" i="1"/>
  <c r="U247" i="1"/>
  <c r="X247" i="1" s="1"/>
  <c r="V247" i="1"/>
  <c r="U248" i="1"/>
  <c r="V248" i="1"/>
  <c r="U249" i="1"/>
  <c r="X249" i="1" s="1"/>
  <c r="V249" i="1"/>
  <c r="U250" i="1"/>
  <c r="X250" i="1" s="1"/>
  <c r="V250" i="1"/>
  <c r="U251" i="1"/>
  <c r="V251" i="1"/>
  <c r="U252" i="1"/>
  <c r="X252" i="1" s="1"/>
  <c r="V252" i="1"/>
  <c r="U253" i="1"/>
  <c r="X253" i="1" s="1"/>
  <c r="U254" i="1"/>
  <c r="X254" i="1" s="1"/>
  <c r="V254" i="1"/>
  <c r="U255" i="1"/>
  <c r="X255" i="1" s="1"/>
  <c r="V255" i="1"/>
  <c r="U256" i="1"/>
  <c r="V256" i="1"/>
  <c r="U257" i="1"/>
  <c r="X257" i="1" s="1"/>
  <c r="V257" i="1"/>
  <c r="U258" i="1"/>
  <c r="X258" i="1" s="1"/>
  <c r="V258" i="1"/>
  <c r="U259" i="1"/>
  <c r="X259" i="1" s="1"/>
  <c r="V259" i="1"/>
  <c r="U260" i="1"/>
  <c r="V260" i="1"/>
  <c r="U261" i="1"/>
  <c r="U262" i="1"/>
  <c r="X262" i="1" s="1"/>
  <c r="V262" i="1"/>
  <c r="U263" i="1"/>
  <c r="X263" i="1" s="1"/>
  <c r="V263" i="1"/>
  <c r="U264" i="1"/>
  <c r="X264" i="1" s="1"/>
  <c r="V264" i="1"/>
  <c r="U265" i="1"/>
  <c r="X265" i="1" s="1"/>
  <c r="V265" i="1"/>
  <c r="U266" i="1"/>
  <c r="X266" i="1" s="1"/>
  <c r="V266" i="1"/>
  <c r="U267" i="1"/>
  <c r="X267" i="1" s="1"/>
  <c r="V267" i="1"/>
  <c r="U268" i="1"/>
  <c r="V268" i="1"/>
  <c r="U269" i="1"/>
  <c r="X269" i="1" s="1"/>
  <c r="U270" i="1"/>
  <c r="X270" i="1" s="1"/>
  <c r="V270" i="1"/>
  <c r="U271" i="1"/>
  <c r="X271" i="1" s="1"/>
  <c r="V271" i="1"/>
  <c r="U272" i="1"/>
  <c r="V272" i="1"/>
  <c r="U273" i="1"/>
  <c r="X273" i="1" s="1"/>
  <c r="V273" i="1"/>
  <c r="U274" i="1"/>
  <c r="X274" i="1" s="1"/>
  <c r="V274" i="1"/>
  <c r="U275" i="1"/>
  <c r="X275" i="1" s="1"/>
  <c r="V275" i="1"/>
  <c r="U276" i="1"/>
  <c r="V276" i="1"/>
  <c r="U277" i="1"/>
  <c r="U278" i="1"/>
  <c r="X278" i="1" s="1"/>
  <c r="V278" i="1"/>
  <c r="U279" i="1"/>
  <c r="X279" i="1" s="1"/>
  <c r="V279" i="1"/>
  <c r="U280" i="1"/>
  <c r="V280" i="1"/>
  <c r="U281" i="1"/>
  <c r="X281" i="1" s="1"/>
  <c r="V281" i="1"/>
  <c r="U282" i="1"/>
  <c r="X282" i="1" s="1"/>
  <c r="V282" i="1"/>
  <c r="U283" i="1"/>
  <c r="V283" i="1"/>
  <c r="U284" i="1"/>
  <c r="X284" i="1" s="1"/>
  <c r="V284" i="1"/>
  <c r="U285" i="1"/>
  <c r="X285" i="1" s="1"/>
  <c r="U286" i="1"/>
  <c r="X286" i="1" s="1"/>
  <c r="V286" i="1"/>
  <c r="U287" i="1"/>
  <c r="V287" i="1"/>
  <c r="U288" i="1"/>
  <c r="V288" i="1"/>
  <c r="U289" i="1"/>
  <c r="X289" i="1" s="1"/>
  <c r="V289" i="1"/>
  <c r="U290" i="1"/>
  <c r="X290" i="1" s="1"/>
  <c r="V290" i="1"/>
  <c r="U291" i="1"/>
  <c r="X291" i="1" s="1"/>
  <c r="V291" i="1"/>
  <c r="U292" i="1"/>
  <c r="V292" i="1"/>
  <c r="U293" i="1"/>
  <c r="U294" i="1"/>
  <c r="X294" i="1" s="1"/>
  <c r="V294" i="1"/>
  <c r="U295" i="1"/>
  <c r="X295" i="1" s="1"/>
  <c r="V295" i="1"/>
  <c r="U296" i="1"/>
  <c r="X296" i="1" s="1"/>
  <c r="V296" i="1"/>
  <c r="U297" i="1"/>
  <c r="X297" i="1" s="1"/>
  <c r="U298" i="1"/>
  <c r="X298" i="1" s="1"/>
  <c r="V298" i="1"/>
  <c r="U299" i="1"/>
  <c r="X299" i="1" s="1"/>
  <c r="V299" i="1"/>
  <c r="U300" i="1"/>
  <c r="V300" i="1"/>
  <c r="U301" i="1"/>
  <c r="X301" i="1" s="1"/>
  <c r="U302" i="1"/>
  <c r="X302" i="1" s="1"/>
  <c r="V302" i="1"/>
  <c r="U303" i="1"/>
  <c r="X303" i="1" s="1"/>
  <c r="V303" i="1"/>
  <c r="V304" i="1"/>
  <c r="U305" i="1"/>
  <c r="U306" i="1"/>
  <c r="X306" i="1" s="1"/>
  <c r="V306" i="1"/>
  <c r="U307" i="1"/>
  <c r="X307" i="1" s="1"/>
  <c r="V307" i="1"/>
  <c r="U308" i="1"/>
  <c r="X308" i="1" s="1"/>
  <c r="U309" i="1"/>
  <c r="U310" i="1"/>
  <c r="X310" i="1" s="1"/>
  <c r="V310" i="1"/>
  <c r="U311" i="1"/>
  <c r="V311" i="1"/>
  <c r="U313" i="1"/>
  <c r="X313" i="1" s="1"/>
  <c r="U314" i="1"/>
  <c r="X314" i="1" s="1"/>
  <c r="V314" i="1"/>
  <c r="U315" i="1"/>
  <c r="X315" i="1" s="1"/>
  <c r="V315" i="1"/>
  <c r="U316" i="1"/>
  <c r="U317" i="1"/>
  <c r="X317" i="1" s="1"/>
  <c r="U318" i="1"/>
  <c r="X318" i="1" s="1"/>
  <c r="V318" i="1"/>
  <c r="U319" i="1"/>
  <c r="X319" i="1" s="1"/>
  <c r="V319" i="1"/>
  <c r="U321" i="1"/>
  <c r="U322" i="1"/>
  <c r="X322" i="1" s="1"/>
  <c r="V322" i="1"/>
  <c r="V323" i="1"/>
  <c r="U324" i="1"/>
  <c r="U325" i="1"/>
  <c r="X325" i="1" s="1"/>
  <c r="V326" i="1"/>
  <c r="U327" i="1"/>
  <c r="X327" i="1" s="1"/>
  <c r="V327" i="1"/>
  <c r="U329" i="1"/>
  <c r="U330" i="1"/>
  <c r="X330" i="1" s="1"/>
  <c r="V330" i="1"/>
  <c r="U331" i="1"/>
  <c r="X331" i="1" s="1"/>
  <c r="V331" i="1"/>
  <c r="U332" i="1"/>
  <c r="X332" i="1" s="1"/>
  <c r="U333" i="1"/>
  <c r="V334" i="1"/>
  <c r="V335" i="1"/>
  <c r="U337" i="1"/>
  <c r="X337" i="1" s="1"/>
  <c r="U338" i="1"/>
  <c r="X338" i="1" s="1"/>
  <c r="V338" i="1"/>
  <c r="V339" i="1"/>
  <c r="U340" i="1"/>
  <c r="U2" i="1"/>
  <c r="V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20" i="1"/>
  <c r="T221" i="1"/>
  <c r="T222" i="1"/>
  <c r="T223" i="1"/>
  <c r="T224" i="1"/>
  <c r="T225" i="1"/>
  <c r="T226" i="1"/>
  <c r="T228" i="1"/>
  <c r="T229" i="1"/>
  <c r="T230" i="1"/>
  <c r="T231" i="1"/>
  <c r="T232" i="1"/>
  <c r="T233" i="1"/>
  <c r="T234" i="1"/>
  <c r="T236" i="1"/>
  <c r="T237" i="1"/>
  <c r="T238" i="1"/>
  <c r="T239" i="1"/>
  <c r="T240" i="1"/>
  <c r="T241" i="1"/>
  <c r="T242" i="1"/>
  <c r="T244" i="1"/>
  <c r="T245" i="1"/>
  <c r="T246" i="1"/>
  <c r="T247" i="1"/>
  <c r="T248" i="1"/>
  <c r="T249" i="1"/>
  <c r="T250" i="1"/>
  <c r="T252" i="1"/>
  <c r="T253" i="1"/>
  <c r="T254" i="1"/>
  <c r="T255" i="1"/>
  <c r="T256" i="1"/>
  <c r="T257" i="1"/>
  <c r="T258" i="1"/>
  <c r="T260" i="1"/>
  <c r="T261" i="1"/>
  <c r="T262" i="1"/>
  <c r="T263" i="1"/>
  <c r="T264" i="1"/>
  <c r="T265" i="1"/>
  <c r="T266" i="1"/>
  <c r="T268" i="1"/>
  <c r="T269" i="1"/>
  <c r="T270" i="1"/>
  <c r="T271" i="1"/>
  <c r="T272" i="1"/>
  <c r="T273" i="1"/>
  <c r="T274" i="1"/>
  <c r="T276" i="1"/>
  <c r="T277" i="1"/>
  <c r="T278" i="1"/>
  <c r="T279" i="1"/>
  <c r="T280" i="1"/>
  <c r="T281" i="1"/>
  <c r="T282" i="1"/>
  <c r="T284" i="1"/>
  <c r="T285" i="1"/>
  <c r="T286" i="1"/>
  <c r="T287" i="1"/>
  <c r="T288" i="1"/>
  <c r="T289" i="1"/>
  <c r="T290" i="1"/>
  <c r="T292" i="1"/>
  <c r="T293" i="1"/>
  <c r="T294" i="1"/>
  <c r="T295" i="1"/>
  <c r="T296" i="1"/>
  <c r="T297" i="1"/>
  <c r="T298" i="1"/>
  <c r="T300" i="1"/>
  <c r="T301" i="1"/>
  <c r="T302" i="1"/>
  <c r="T303" i="1"/>
  <c r="T304" i="1"/>
  <c r="T305" i="1"/>
  <c r="T308" i="1"/>
  <c r="T309" i="1"/>
  <c r="T310" i="1"/>
  <c r="T311" i="1"/>
  <c r="T312" i="1"/>
  <c r="T313" i="1"/>
  <c r="T316" i="1"/>
  <c r="T317" i="1"/>
  <c r="T319" i="1"/>
  <c r="T320" i="1"/>
  <c r="T321" i="1"/>
  <c r="T324" i="1"/>
  <c r="T325" i="1"/>
  <c r="T327" i="1"/>
  <c r="T328" i="1"/>
  <c r="T329" i="1"/>
  <c r="T332" i="1"/>
  <c r="T333" i="1"/>
  <c r="T335" i="1"/>
  <c r="T336" i="1"/>
  <c r="T337" i="1"/>
  <c r="T340" i="1"/>
  <c r="X19" i="1"/>
  <c r="X20" i="1"/>
  <c r="X3" i="1"/>
  <c r="X4" i="1"/>
  <c r="X5" i="1"/>
  <c r="X6" i="1"/>
  <c r="X7" i="1"/>
  <c r="X8" i="1"/>
  <c r="X9" i="1"/>
  <c r="X21" i="1"/>
  <c r="X23" i="1"/>
  <c r="X24" i="1"/>
  <c r="X25" i="1"/>
  <c r="X11" i="1"/>
  <c r="X12" i="1"/>
  <c r="X72" i="1"/>
  <c r="X13" i="1"/>
  <c r="X27" i="1"/>
  <c r="X28" i="1"/>
  <c r="X29" i="1"/>
  <c r="X76" i="1"/>
  <c r="X31" i="1"/>
  <c r="X32" i="1"/>
  <c r="X33" i="1"/>
  <c r="X35" i="1"/>
  <c r="X36" i="1"/>
  <c r="X37" i="1"/>
  <c r="X39" i="1"/>
  <c r="X40" i="1"/>
  <c r="X80" i="1"/>
  <c r="X41" i="1"/>
  <c r="X15" i="1"/>
  <c r="X16" i="1"/>
  <c r="X17" i="1"/>
  <c r="X43" i="1"/>
  <c r="X44" i="1"/>
  <c r="X45" i="1"/>
  <c r="X47" i="1"/>
  <c r="X48" i="1"/>
  <c r="X49" i="1"/>
  <c r="X51" i="1"/>
  <c r="X52" i="1"/>
  <c r="X84" i="1"/>
  <c r="X53" i="1"/>
  <c r="X55" i="1"/>
  <c r="X56" i="1"/>
  <c r="X57" i="1"/>
  <c r="X88" i="1"/>
  <c r="X59" i="1"/>
  <c r="X60" i="1"/>
  <c r="X61" i="1"/>
  <c r="X2" i="1"/>
  <c r="X63" i="1"/>
  <c r="X92" i="1"/>
  <c r="X64" i="1"/>
  <c r="X96" i="1"/>
  <c r="X65" i="1"/>
  <c r="X67" i="1"/>
  <c r="X68" i="1"/>
  <c r="X97" i="1"/>
  <c r="X100" i="1"/>
  <c r="X108" i="1"/>
  <c r="X112" i="1"/>
  <c r="X113" i="1"/>
  <c r="X120" i="1"/>
  <c r="X124" i="1"/>
  <c r="X128" i="1"/>
  <c r="X132" i="1"/>
  <c r="X135" i="1"/>
  <c r="X140" i="1"/>
  <c r="X144" i="1"/>
  <c r="X145" i="1"/>
  <c r="X151" i="1"/>
  <c r="X152" i="1"/>
  <c r="X156" i="1"/>
  <c r="X160" i="1"/>
  <c r="X164" i="1"/>
  <c r="X172" i="1"/>
  <c r="X176" i="1"/>
  <c r="X183" i="1"/>
  <c r="X184" i="1"/>
  <c r="X188" i="1"/>
  <c r="X192" i="1"/>
  <c r="X193" i="1"/>
  <c r="X196" i="1"/>
  <c r="X204" i="1"/>
  <c r="X69" i="1"/>
  <c r="X208" i="1"/>
  <c r="X212" i="1"/>
  <c r="X213" i="1"/>
  <c r="X216" i="1"/>
  <c r="X219" i="1"/>
  <c r="X223" i="1"/>
  <c r="X224" i="1"/>
  <c r="X228" i="1"/>
  <c r="X229" i="1"/>
  <c r="X236" i="1"/>
  <c r="X240" i="1"/>
  <c r="X244" i="1"/>
  <c r="X245" i="1"/>
  <c r="X248" i="1"/>
  <c r="X251" i="1"/>
  <c r="X256" i="1"/>
  <c r="X260" i="1"/>
  <c r="X261" i="1"/>
  <c r="X268" i="1"/>
  <c r="X272" i="1"/>
  <c r="X276" i="1"/>
  <c r="X277" i="1"/>
  <c r="X280" i="1"/>
  <c r="X283" i="1"/>
  <c r="X287" i="1"/>
  <c r="X288" i="1"/>
  <c r="X292" i="1"/>
  <c r="X293" i="1"/>
  <c r="X300" i="1"/>
  <c r="X305" i="1"/>
  <c r="X309" i="1"/>
  <c r="X311" i="1"/>
  <c r="X316" i="1"/>
  <c r="X321" i="1"/>
  <c r="X324" i="1"/>
  <c r="X329" i="1"/>
  <c r="X333" i="1"/>
  <c r="X340" i="1"/>
  <c r="W19" i="1"/>
  <c r="W20" i="1"/>
  <c r="W3" i="1"/>
  <c r="W4" i="1"/>
  <c r="W5" i="1"/>
  <c r="W6" i="1"/>
  <c r="W7" i="1"/>
  <c r="W8" i="1"/>
  <c r="W9" i="1"/>
  <c r="W10" i="1"/>
  <c r="W21" i="1"/>
  <c r="W22" i="1"/>
  <c r="W23" i="1"/>
  <c r="W24" i="1"/>
  <c r="W25" i="1"/>
  <c r="W11" i="1"/>
  <c r="W12" i="1"/>
  <c r="W70" i="1"/>
  <c r="W71" i="1"/>
  <c r="W72" i="1"/>
  <c r="W26" i="1"/>
  <c r="W13" i="1"/>
  <c r="W27" i="1"/>
  <c r="W28" i="1"/>
  <c r="W29" i="1"/>
  <c r="W30" i="1"/>
  <c r="W73" i="1"/>
  <c r="W74" i="1"/>
  <c r="W75" i="1"/>
  <c r="W76" i="1"/>
  <c r="W31" i="1"/>
  <c r="W77" i="1"/>
  <c r="W78" i="1"/>
  <c r="W32" i="1"/>
  <c r="W33" i="1"/>
  <c r="W34" i="1"/>
  <c r="W35" i="1"/>
  <c r="W79" i="1"/>
  <c r="W36" i="1"/>
  <c r="W37" i="1"/>
  <c r="W38" i="1"/>
  <c r="W39" i="1"/>
  <c r="W40" i="1"/>
  <c r="W80" i="1"/>
  <c r="W81" i="1"/>
  <c r="W41" i="1"/>
  <c r="W14" i="1"/>
  <c r="W15" i="1"/>
  <c r="W16" i="1"/>
  <c r="W82" i="1"/>
  <c r="W83" i="1"/>
  <c r="W42" i="1"/>
  <c r="W17" i="1"/>
  <c r="W43" i="1"/>
  <c r="W44" i="1"/>
  <c r="W45" i="1"/>
  <c r="W46" i="1"/>
  <c r="W47" i="1"/>
  <c r="W48" i="1"/>
  <c r="W49" i="1"/>
  <c r="W50" i="1"/>
  <c r="W51" i="1"/>
  <c r="W52" i="1"/>
  <c r="W84" i="1"/>
  <c r="W53" i="1"/>
  <c r="W54" i="1"/>
  <c r="W85" i="1"/>
  <c r="W55" i="1"/>
  <c r="W18" i="1"/>
  <c r="W56" i="1"/>
  <c r="W57" i="1"/>
  <c r="W58" i="1"/>
  <c r="W86" i="1"/>
  <c r="W87" i="1"/>
  <c r="W88" i="1"/>
  <c r="W89" i="1"/>
  <c r="W59" i="1"/>
  <c r="W60" i="1"/>
  <c r="W61" i="1"/>
  <c r="W62" i="1"/>
  <c r="W2" i="1"/>
  <c r="W90" i="1"/>
  <c r="W63" i="1"/>
  <c r="W91" i="1"/>
  <c r="W92" i="1"/>
  <c r="W93" i="1"/>
  <c r="W64" i="1"/>
  <c r="W94" i="1"/>
  <c r="W95" i="1"/>
  <c r="W96" i="1"/>
  <c r="W65" i="1"/>
  <c r="W66" i="1"/>
  <c r="W67" i="1"/>
  <c r="W68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69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</calcChain>
</file>

<file path=xl/sharedStrings.xml><?xml version="1.0" encoding="utf-8"?>
<sst xmlns="http://schemas.openxmlformats.org/spreadsheetml/2006/main" count="2423" uniqueCount="1144">
  <si>
    <t>session_id</t>
  </si>
  <si>
    <t>user_id</t>
  </si>
  <si>
    <t>created_at</t>
  </si>
  <si>
    <t>session_mode</t>
  </si>
  <si>
    <t>session_use_rag</t>
  </si>
  <si>
    <t>interaction_number</t>
  </si>
  <si>
    <t>timestamp</t>
  </si>
  <si>
    <t>query</t>
  </si>
  <si>
    <t>routed_query</t>
  </si>
  <si>
    <t>mode</t>
  </si>
  <si>
    <t>use_rag</t>
  </si>
  <si>
    <t>used_cache</t>
  </si>
  <si>
    <t>results_count</t>
  </si>
  <si>
    <t>title_response</t>
  </si>
  <si>
    <t>score_response</t>
  </si>
  <si>
    <t>csat_score</t>
  </si>
  <si>
    <t>nps_score</t>
  </si>
  <si>
    <t>nps_category</t>
  </si>
  <si>
    <t>resolution_label</t>
  </si>
  <si>
    <t>resolution_numeric</t>
  </si>
  <si>
    <t>018bd500-cfad-4f2e-be92-f00b6a97f914</t>
  </si>
  <si>
    <t>57 317 1787521</t>
  </si>
  <si>
    <t>DIRECT</t>
  </si>
  <si>
    <t>películas de aventura épica</t>
  </si>
  <si>
    <t>Egypt: Secrets of the Pharaohs</t>
  </si>
  <si>
    <t>022cd6bf-4c6e-40c2-a956-ff0002089c2f</t>
  </si>
  <si>
    <t>57 315 6257476</t>
  </si>
  <si>
    <t>me gustó Gravity, algo parecido</t>
  </si>
  <si>
    <t>Bharathan Effect</t>
  </si>
  <si>
    <t>023b5b5d-ffb5-479e-b5c2-946af1a8407f</t>
  </si>
  <si>
    <t>57 317 4588659</t>
  </si>
  <si>
    <t>acción con superhéroes pero más seria</t>
  </si>
  <si>
    <t>Anche se è amore non si vede</t>
  </si>
  <si>
    <t>02d32c7b-9cba-4722-829b-5b1658643d2b</t>
  </si>
  <si>
    <t>57 313 1238842</t>
  </si>
  <si>
    <t>terror psicológico con pocos personajes y ambiente cerrado</t>
  </si>
  <si>
    <t>Utusan Iblis: Dia Yang Berada di Antara Kita</t>
  </si>
  <si>
    <t>0532bfcd-2ca5-45f4-8a00-cefc232ce09d</t>
  </si>
  <si>
    <t>57 316 7556912</t>
  </si>
  <si>
    <t>recomiendame algo parecido a ready player one</t>
  </si>
  <si>
    <t>Deal or No Deal</t>
  </si>
  <si>
    <t>promoter</t>
  </si>
  <si>
    <t>yes</t>
  </si>
  <si>
    <t>05f18ee5-0f82-46e6-858d-70869118f388</t>
  </si>
  <si>
    <t>57 318 0198010</t>
  </si>
  <si>
    <t>RAG</t>
  </si>
  <si>
    <t>películas tipo Top Gun</t>
  </si>
  <si>
    <t>Aquile</t>
  </si>
  <si>
    <t>064995ae-bfea-4c8f-b31d-2b7fa5749d2d</t>
  </si>
  <si>
    <t>57 315 9761750</t>
  </si>
  <si>
    <t>una película que tenga acción pero también historia</t>
  </si>
  <si>
    <t>Juro que te amo</t>
  </si>
  <si>
    <t>06967f73-bcca-44c7-994d-af36009b7e2e</t>
  </si>
  <si>
    <t>57 318 4101154</t>
  </si>
  <si>
    <t>algo entretenido de ver</t>
  </si>
  <si>
    <t>Helga y Flora</t>
  </si>
  <si>
    <t>073fc00a-e957-4973-aa12-1b018e2ed4fd</t>
  </si>
  <si>
    <t>57 323 3114869</t>
  </si>
  <si>
    <t>quiero ver una pelicula similar a perfect blue</t>
  </si>
  <si>
    <t>Blue Moon</t>
  </si>
  <si>
    <t>07e5c2c6-ebdb-4305-933e-4d5e6af4d33b</t>
  </si>
  <si>
    <t>57 313 4452642</t>
  </si>
  <si>
    <t>películas de misterio con giros inesperados</t>
  </si>
  <si>
    <t>Illiterate</t>
  </si>
  <si>
    <t>07f8e19b-0596-46fc-ab56-24aaf2410d24</t>
  </si>
  <si>
    <t>57 316 3969171</t>
  </si>
  <si>
    <t>películas tipo Indiana Jones</t>
  </si>
  <si>
    <t>La muerte de un gallero</t>
  </si>
  <si>
    <t>0819aab1-edc7-4e93-acc4-fdebde5fd1ad</t>
  </si>
  <si>
    <t>57 315 4847212</t>
  </si>
  <si>
    <t>terror psicológico con final inesperado</t>
  </si>
  <si>
    <t>08b2d098-8bdd-41f3-88c4-e8f3a0dc1d4e</t>
  </si>
  <si>
    <t>57 317 8517661</t>
  </si>
  <si>
    <t>una serie parecida a besos kitty</t>
  </si>
  <si>
    <t>Hasta que te conocí</t>
  </si>
  <si>
    <t>o una serie de k-drama parecido a mi adorable demonio</t>
  </si>
  <si>
    <t>Quo Vadis?</t>
  </si>
  <si>
    <t>0907057a-293c-4367-a22e-5fafeb376a72</t>
  </si>
  <si>
    <t>57 312 1727943</t>
  </si>
  <si>
    <t>me gustó Mission Impossible, algo similar</t>
  </si>
  <si>
    <t>Laser Mission</t>
  </si>
  <si>
    <t>0a114f43-e48f-4ead-9505-da2b88b4bb10</t>
  </si>
  <si>
    <t>Películas bélicas recomendadas</t>
  </si>
  <si>
    <t>recomienda algo parecido a avengers</t>
  </si>
  <si>
    <t>Marvel's Avengers</t>
  </si>
  <si>
    <t>0b1ea98b-6625-4d83-8de8-e2e754b175d4</t>
  </si>
  <si>
    <t>57 319 8008108</t>
  </si>
  <si>
    <t>terror con posesiones</t>
  </si>
  <si>
    <t>Ercole in Polesine</t>
  </si>
  <si>
    <t>0b9701bb-4010-45d3-a1f4-75184e551c08</t>
  </si>
  <si>
    <t>57 318 9734494</t>
  </si>
  <si>
    <t>una peli que tenga buena vibra pero no sea tonta</t>
  </si>
  <si>
    <t>0c0e096e-51b5-4a81-be8a-0140c5a11a09</t>
  </si>
  <si>
    <t>57 314 0752520</t>
  </si>
  <si>
    <t>romance emocional con final bonito</t>
  </si>
  <si>
    <t>Pobre novio</t>
  </si>
  <si>
    <t>0cccf2bd-3bbc-4e91-a093-b838cf34e5d0</t>
  </si>
  <si>
    <t>57 311 6510950</t>
  </si>
  <si>
    <t>ciencia ficción con experimentos científicos</t>
  </si>
  <si>
    <t>Jerrod Carmichael Reality Show</t>
  </si>
  <si>
    <t>0db6667d-8b3e-4a96-8750-f97ac73ddbbf</t>
  </si>
  <si>
    <t>57 317 4080274</t>
  </si>
  <si>
    <t>terror psicológico con pocos personajes</t>
  </si>
  <si>
    <t>0dc67bfe-df11-4f3d-93f6-7381f1161c6d</t>
  </si>
  <si>
    <t>57 319 6618862</t>
  </si>
  <si>
    <t>romance con drama y final feliz</t>
  </si>
  <si>
    <t>Sullivan's Crossing</t>
  </si>
  <si>
    <t>0f8b84f1-0222-4e2b-886b-32002ef903ef</t>
  </si>
  <si>
    <t>57 314 7195441</t>
  </si>
  <si>
    <t>una peli que tenga buen balance entre acción y historia</t>
  </si>
  <si>
    <t>1061862c-38ab-44d6-bf69-2b7535d69fab</t>
  </si>
  <si>
    <t>57 319 8355974</t>
  </si>
  <si>
    <t>romance complicado pero realista</t>
  </si>
  <si>
    <t>Tastefully Yours</t>
  </si>
  <si>
    <t>10a67857-fb0e-494c-a5c6-31fb8330e5ab</t>
  </si>
  <si>
    <t>57 301 5866204</t>
  </si>
  <si>
    <t>me puedes recomendar peliculas coreanas</t>
  </si>
  <si>
    <t>113cd7fa-2da3-49fb-84d4-a131aa89f690</t>
  </si>
  <si>
    <t>57 313 6587271</t>
  </si>
  <si>
    <t>películas románticas con final feliz</t>
  </si>
  <si>
    <t>Along came Love</t>
  </si>
  <si>
    <t>11ab5c2d-a093-4deb-82d4-b7dc0d7d17b1</t>
  </si>
  <si>
    <t>57 319 1530273</t>
  </si>
  <si>
    <t>romance intenso pero no trágico</t>
  </si>
  <si>
    <t>57 313 7650049</t>
  </si>
  <si>
    <t>Películas de terror intensas</t>
  </si>
  <si>
    <t>13111470-93aa-4b02-ae81-a3ed207affd1</t>
  </si>
  <si>
    <t>recomienda algo parecido a spiderman</t>
  </si>
  <si>
    <t>Spider-Man</t>
  </si>
  <si>
    <t>1343a49a-f2ac-490f-adb1-fb41baa9dd4b</t>
  </si>
  <si>
    <t>57 314 1585087</t>
  </si>
  <si>
    <t>películas de acción con espionaje</t>
  </si>
  <si>
    <t>ciencia ficción futurista</t>
  </si>
  <si>
    <t>Bureau 749</t>
  </si>
  <si>
    <t>terror con suspenso psicológico</t>
  </si>
  <si>
    <t>16003f48-1bca-4c96-a0ad-5939d368e299</t>
  </si>
  <si>
    <t>57 316 3227306</t>
  </si>
  <si>
    <t>algo que sea entretenido pero con sentido</t>
  </si>
  <si>
    <t>1685093a-d39c-472d-aae2-f8c92886a91a</t>
  </si>
  <si>
    <t>57 319 1760431</t>
  </si>
  <si>
    <t>ciencia ficción con aliens</t>
  </si>
  <si>
    <t>Jeff and Some Aliens</t>
  </si>
  <si>
    <t>16989b85-b062-44f1-a116-6e42afa06118</t>
  </si>
  <si>
    <t>una recomendacion para una serie como the big bang theory</t>
  </si>
  <si>
    <t>The Big Bang Theory</t>
  </si>
  <si>
    <t>18bac071-cac8-47d5-9bec-1b746953859f</t>
  </si>
  <si>
    <t>57 302 5203977</t>
  </si>
  <si>
    <t>recomienda algo parecido a harry potte</t>
  </si>
  <si>
    <t>Harry Potter: Wizards of Baking</t>
  </si>
  <si>
    <t>passive</t>
  </si>
  <si>
    <t>partial</t>
  </si>
  <si>
    <t>no gracias asi esta bien</t>
  </si>
  <si>
    <t>Así es la vida</t>
  </si>
  <si>
    <t>19bd5ce4-30a1-4c39-b956-9de1892790bf</t>
  </si>
  <si>
    <t>57 311 7597733</t>
  </si>
  <si>
    <t>me gustó Parasite, algo así</t>
  </si>
  <si>
    <t>Blue Monkey</t>
  </si>
  <si>
    <t>1b53fd54-2dd1-4a3c-bb2e-a6d5e9fd8426</t>
  </si>
  <si>
    <t>57 312 5941284</t>
  </si>
  <si>
    <t>quiero algo que me enganche sin necesidad de pensar mucho</t>
  </si>
  <si>
    <t>1c4e963a-45f3-4c72-acf7-9525fe83c726</t>
  </si>
  <si>
    <t>pelicula romantica</t>
  </si>
  <si>
    <t>Junjo Romantica</t>
  </si>
  <si>
    <t>1c71a0c6-dc14-4bc0-9460-ece0fad54bbb</t>
  </si>
  <si>
    <t>57 321 9765438</t>
  </si>
  <si>
    <t>pelicula de intriga</t>
  </si>
  <si>
    <t>Guante blanco</t>
  </si>
  <si>
    <t>1ce3c66c-1560-4db9-9b77-d1921659e5e9</t>
  </si>
  <si>
    <t>57 300 2275418</t>
  </si>
  <si>
    <t>peliculas del mismo tono que interestellar</t>
  </si>
  <si>
    <t>1cec76c2-cd41-48c1-b0f9-108d8c027a5b</t>
  </si>
  <si>
    <t>57 315 6117571</t>
  </si>
  <si>
    <t>algo para matar el tiempo</t>
  </si>
  <si>
    <t>Chacrinha: Eu Vim para Confundir e Não para Explicar</t>
  </si>
  <si>
    <t>1d8c4abf-5926-4ccf-9ed5-47187041a1ac</t>
  </si>
  <si>
    <t>57 315 6117582</t>
  </si>
  <si>
    <t>una película que sea ligera pero interesante</t>
  </si>
  <si>
    <t>1dc12e13-f366-49c6-91ea-84893c5716a5</t>
  </si>
  <si>
    <t>57 318 0505135</t>
  </si>
  <si>
    <t>acción rápida pero con desarrollo de personajes</t>
  </si>
  <si>
    <t>È questa la vita che sognavo da bambino?</t>
  </si>
  <si>
    <t>películas dramáticas basadas en la vida real</t>
  </si>
  <si>
    <t>Mi Vida Eres Tú</t>
  </si>
  <si>
    <t>1e0b4c7d-c200-4f65-b0aa-3b4edb1f1d0c</t>
  </si>
  <si>
    <t>57 317 2252197</t>
  </si>
  <si>
    <t>algo que tenga sentido pero que también entretenga</t>
  </si>
  <si>
    <t>210b271a-fff1-4c1d-ba1d-9ed7f1ccddd2</t>
  </si>
  <si>
    <t>57 316 7210986</t>
  </si>
  <si>
    <t>algo que no sea aburrido</t>
  </si>
  <si>
    <t>21345970-7969-474d-9d51-fbee2678c522</t>
  </si>
  <si>
    <t>57 319 1614030</t>
  </si>
  <si>
    <t>acción con buena historia y no solo peleas</t>
  </si>
  <si>
    <t>Después de… Primera parte: no se os puede dejar solos</t>
  </si>
  <si>
    <t>217b8b66-0e61-49c2-aaa8-0a8d4bed4137</t>
  </si>
  <si>
    <t>57 312 9343903</t>
  </si>
  <si>
    <t>me gustó Ex Machina, algo así</t>
  </si>
  <si>
    <t>21dc1546-bc16-4a51-9973-e723ecd2da82</t>
  </si>
  <si>
    <t>57 315 3803397</t>
  </si>
  <si>
    <t>una peli que sea fácil pero no básica</t>
  </si>
  <si>
    <t>pelis de acción con robots</t>
  </si>
  <si>
    <t>Transformers: BotBots</t>
  </si>
  <si>
    <t>2215bd1c-d212-43dc-9d7a-f38893a425d8</t>
  </si>
  <si>
    <t>57 315 3467560</t>
  </si>
  <si>
    <t>una película que tenga buen desarrollo pero que no sea lenta</t>
  </si>
  <si>
    <t>22aa255f-a611-44cd-8fbf-07aa295885eb</t>
  </si>
  <si>
    <t>57 314 2770249</t>
  </si>
  <si>
    <t>algo para ver solo</t>
  </si>
  <si>
    <t>Para - We Are King</t>
  </si>
  <si>
    <t>22f6e3ce-5030-463e-865f-6b80fd4aef30</t>
  </si>
  <si>
    <t>57 312 1727445</t>
  </si>
  <si>
    <t>23e6a612-bac8-4780-baa8-9409f4dc93da</t>
  </si>
  <si>
    <t>57 316 9012180</t>
  </si>
  <si>
    <t>quiero algo que me guste aunque no sea perfecto</t>
  </si>
  <si>
    <t>2464fa3c-3c02-4304-9012-3d02423ae1b0</t>
  </si>
  <si>
    <t>57 320 3286843</t>
  </si>
  <si>
    <t>peliculas de degeneracion humana</t>
  </si>
  <si>
    <t>Mama Drama</t>
  </si>
  <si>
    <t>dame entonces una recomendacion de peliculas de dictadores</t>
  </si>
  <si>
    <t>Fenómenos</t>
  </si>
  <si>
    <t>2504451b-22bc-4ebb-a65b-09e3519a4c98</t>
  </si>
  <si>
    <t>57 312 5313949</t>
  </si>
  <si>
    <t>algo que sea fácil de ver pero que valga la pena</t>
  </si>
  <si>
    <t>Películas de comedia divertidas</t>
  </si>
  <si>
    <t>262c0dcc-7566-4885-99bc-1cc5db334147</t>
  </si>
  <si>
    <t>57 311 7238104</t>
  </si>
  <si>
    <t>películas tipo 300</t>
  </si>
  <si>
    <t>Muchachos, la película de la gente</t>
  </si>
  <si>
    <t>27f3ce91-1ed7-40b2-b25c-f66efcd5a9f9</t>
  </si>
  <si>
    <t>una pelicula como crepusculo</t>
  </si>
  <si>
    <t>The World's Gold</t>
  </si>
  <si>
    <t>Películas románticas emotivas</t>
  </si>
  <si>
    <t>2ac0bb83-8c2f-4993-83a5-3bc7c504acb3</t>
  </si>
  <si>
    <t>57 311 7259186</t>
  </si>
  <si>
    <t>acción con inteligencia artificial</t>
  </si>
  <si>
    <t>Pantheon</t>
  </si>
  <si>
    <t>2b15526a-c0e4-4751-ab19-9c799b44a443</t>
  </si>
  <si>
    <t>57 316 6763061</t>
  </si>
  <si>
    <t>una peli que tenga emociones pero no sea muy triste</t>
  </si>
  <si>
    <t>2caf9919-0a0d-40f2-8927-a60d4a571af1</t>
  </si>
  <si>
    <t>57 311 3256341</t>
  </si>
  <si>
    <t>películas tipo Spider-Man</t>
  </si>
  <si>
    <t>The Spectacular Spider-Man</t>
  </si>
  <si>
    <t>2db612dd-3aef-4f92-bdc4-acb45a5b4868</t>
  </si>
  <si>
    <t>57 313 6382126</t>
  </si>
  <si>
    <t>algo que me guste aunque no sepa bien qué quiero</t>
  </si>
  <si>
    <t>2e5d0f69-90f5-4a1b-b523-0087b01e45cf</t>
  </si>
  <si>
    <t>57 312 6992129</t>
  </si>
  <si>
    <t>quiero una película que me guste de principio a fin</t>
  </si>
  <si>
    <t>2e6471e1-d563-4b69-9195-9e595d7ecb7c</t>
  </si>
  <si>
    <t>57 311 8664994</t>
  </si>
  <si>
    <t>Guillermo del Toro's Cabinet of Curiosities</t>
  </si>
  <si>
    <t>2f43905c-0115-4989-bbe5-7ba5a2a9d231</t>
  </si>
  <si>
    <t>57 313 3933337</t>
  </si>
  <si>
    <t>una película cualquiera</t>
  </si>
  <si>
    <t>30df9703-e96e-43e6-99a6-f60dfeadbdf7</t>
  </si>
  <si>
    <t>57 315 8803135</t>
  </si>
  <si>
    <t>películas animadas familiares</t>
  </si>
  <si>
    <t>31016bdc-2b87-43f3-9c82-7139ae329f81</t>
  </si>
  <si>
    <t>57 317 0129130</t>
  </si>
  <si>
    <t>me gustó Twilight, algo parecido</t>
  </si>
  <si>
    <t>Gathering Storm</t>
  </si>
  <si>
    <t>3223183e-56ba-4d14-b802-9ff82af15fab</t>
  </si>
  <si>
    <t>57 318 8474215</t>
  </si>
  <si>
    <t>muchas gracias</t>
  </si>
  <si>
    <t>A World of Ours</t>
  </si>
  <si>
    <t>32ab0ac7-aa50-4c66-8405-4009b48a8c40</t>
  </si>
  <si>
    <t>57 311 4444262</t>
  </si>
  <si>
    <t>algo como The Wolf of Wall Street</t>
  </si>
  <si>
    <t>Wall Street</t>
  </si>
  <si>
    <t>películas románticas en el espacio</t>
  </si>
  <si>
    <t>355603ec-6d3f-4991-949a-883f154a9c13</t>
  </si>
  <si>
    <t>57 314 3759001</t>
  </si>
  <si>
    <t>terror con criaturas extrañas</t>
  </si>
  <si>
    <t>Furia</t>
  </si>
  <si>
    <t>36af3652-fd36-4eff-8158-1901f971469b</t>
  </si>
  <si>
    <t>57 311 3373978</t>
  </si>
  <si>
    <t>ciencia ficción con distopía y protagonista fuerte</t>
  </si>
  <si>
    <t>37da2d1d-603f-4629-862e-8ee1b61a381c</t>
  </si>
  <si>
    <t>57 316 3588784</t>
  </si>
  <si>
    <t>terror con misterio y giros inesperados</t>
  </si>
  <si>
    <t>Tres Caínes</t>
  </si>
  <si>
    <t>57 310 4934464</t>
  </si>
  <si>
    <t>396b8d95-089f-4500-85c4-36f62a7b994b</t>
  </si>
  <si>
    <t>57 319 6499016</t>
  </si>
  <si>
    <t>algo como Black Panther</t>
  </si>
  <si>
    <t>Black Panther</t>
  </si>
  <si>
    <t>3b850703-b59c-4846-a938-4c7c8e5ca215</t>
  </si>
  <si>
    <t>57 300 5728843</t>
  </si>
  <si>
    <t>recomendacion de pelicula de ficcion</t>
  </si>
  <si>
    <t>3ba1ce2a-dcb0-45a0-8bbb-8df310d04ec3</t>
  </si>
  <si>
    <t>57 315 0604739</t>
  </si>
  <si>
    <t>una peli buena cualquiera</t>
  </si>
  <si>
    <t>3baa49e2-c6b0-4392-b54e-09fee798a87e</t>
  </si>
  <si>
    <t>57 317 3483528</t>
  </si>
  <si>
    <t>3cc54ddd-4b22-4cce-9cf9-faa7ef3f73a2</t>
  </si>
  <si>
    <t>Documentales interesantes y recomendados</t>
  </si>
  <si>
    <t>Reyes de España</t>
  </si>
  <si>
    <t>3d821ff1-b619-470b-9ab9-44aa2e583e63</t>
  </si>
  <si>
    <t>57 313 4398506</t>
  </si>
  <si>
    <t>pelis parecidas a Frozen</t>
  </si>
  <si>
    <t>Melting Me Softly</t>
  </si>
  <si>
    <t>3f9936f3-d608-4652-866d-2b950bc2e78f</t>
  </si>
  <si>
    <t>57 312 4064783</t>
  </si>
  <si>
    <t>quiero una película que sea buena sin ser complicada</t>
  </si>
  <si>
    <t>3fc204ab-0bf0-4e72-b4ce-c69dcff04760</t>
  </si>
  <si>
    <t>57 300 5179249</t>
  </si>
  <si>
    <t>necesito ver algo sobre cine expresionista europeo de la segunda mitad de la primera mitad del siglo 20 toma como referente a personajes como murnau</t>
  </si>
  <si>
    <t>40389c6b-305a-463e-a6c8-b22865b07639</t>
  </si>
  <si>
    <t>57 313 2212276</t>
  </si>
  <si>
    <t>quiero una peli que me entretenga sin pensar mucho pero que no sea mala</t>
  </si>
  <si>
    <t>40cf9414-6b0c-4b55-a80f-7e205d1fcf91</t>
  </si>
  <si>
    <t>57 312 5489784</t>
  </si>
  <si>
    <t>Pelé: Birth of a Legend</t>
  </si>
  <si>
    <t>detractor</t>
  </si>
  <si>
    <t>no</t>
  </si>
  <si>
    <t>42138d8f-bf99-4318-8b58-d280d2abc9eb</t>
  </si>
  <si>
    <t>57 314 5541679</t>
  </si>
  <si>
    <t>una película cool</t>
  </si>
  <si>
    <t>436811af-91f8-425f-aa80-aff5d2a194a3</t>
  </si>
  <si>
    <t>57 316 5925008</t>
  </si>
  <si>
    <t>romance adolescente</t>
  </si>
  <si>
    <t>Romance en tres noches</t>
  </si>
  <si>
    <t>450beca7-4f68-4dcb-bb72-e4e8db12cf66</t>
  </si>
  <si>
    <t>57 311 7940053</t>
  </si>
  <si>
    <t>algo para ver hoy</t>
  </si>
  <si>
    <t>Hoy Voy a Cambiar</t>
  </si>
  <si>
    <t>45de3c81-7ceb-4577-8eca-7d7526719b53</t>
  </si>
  <si>
    <t>57 311 3837097</t>
  </si>
  <si>
    <t>una peli que sea intensa pero no deprimente</t>
  </si>
  <si>
    <t>47f8dbed-31c8-48ef-8b8f-8119473b8f86</t>
  </si>
  <si>
    <t>57 314 1295996</t>
  </si>
  <si>
    <t>una peli cualquiera buena</t>
  </si>
  <si>
    <t>487d2e23-9a94-4092-9ce4-50494d8a731d</t>
  </si>
  <si>
    <t>57 311 6237173</t>
  </si>
  <si>
    <t>acción intensa pero no muy larga</t>
  </si>
  <si>
    <t>Cabo</t>
  </si>
  <si>
    <t>48b4ce6a-07fd-4434-b596-b32aec2cf5ad</t>
  </si>
  <si>
    <t>57 314 6162072</t>
  </si>
  <si>
    <t>recomiendame una serie epica de alta sintonia</t>
  </si>
  <si>
    <t>Il diario segreto di una minorenne</t>
  </si>
  <si>
    <t>comedias familiares divertidas</t>
  </si>
  <si>
    <t>4a0db322-cc54-4faa-8bad-c907457f7e88</t>
  </si>
  <si>
    <t>57 315 3304536</t>
  </si>
  <si>
    <t>me gustó Titanic, algo similar</t>
  </si>
  <si>
    <t>Titanic: The Final Word with James Cameron</t>
  </si>
  <si>
    <t>4d99f7d0-65bd-486a-8652-6bdc169fb3a2</t>
  </si>
  <si>
    <t>57 313 4135614</t>
  </si>
  <si>
    <t>comedias románticas ligeras</t>
  </si>
  <si>
    <t>4e9aeecd-3a15-4411-92c6-d1a01e1ad646</t>
  </si>
  <si>
    <t>57 318 7079180</t>
  </si>
  <si>
    <t>algo que enganche</t>
  </si>
  <si>
    <t>I Spit on Your Grave: Déjà Vu</t>
  </si>
  <si>
    <t>4eb3630b-9005-473b-8ccf-e70867e8b854</t>
  </si>
  <si>
    <t>57 315 9991717</t>
  </si>
  <si>
    <t>algo como The Dark Knight</t>
  </si>
  <si>
    <t>The Dark Knight</t>
  </si>
  <si>
    <t>4f573d2d-d528-46a3-9490-3444c25c6bc4</t>
  </si>
  <si>
    <t>57 317 4827337</t>
  </si>
  <si>
    <t>recomiéndame algo</t>
  </si>
  <si>
    <t>Kannadi Pookkal</t>
  </si>
  <si>
    <t>5009b64e-830a-4ea2-8262-024f0632aa98</t>
  </si>
  <si>
    <t>anime</t>
  </si>
  <si>
    <t>Annie</t>
  </si>
  <si>
    <t>Películas de acción intensas y entretenidas</t>
  </si>
  <si>
    <t>502a688a-ae4b-4cd7-9706-6cd3e7686e8c</t>
  </si>
  <si>
    <t>recomiendame una pelicula como avatar</t>
  </si>
  <si>
    <t>Educando a Nina</t>
  </si>
  <si>
    <t>espanol</t>
  </si>
  <si>
    <t>Spangles</t>
  </si>
  <si>
    <t>5176706c-03a4-48aa-b602-f9cc4aebb5eb</t>
  </si>
  <si>
    <t>57 317 1879184</t>
  </si>
  <si>
    <t>ciencia ficción con realidades alternas y misterio</t>
  </si>
  <si>
    <t>51a8e2b2-52de-431d-84c2-daa6bf7e2b78</t>
  </si>
  <si>
    <t>57 316 7448460</t>
  </si>
  <si>
    <t>algo para pasar el rato</t>
  </si>
  <si>
    <t>52d3471e-1e14-430a-b515-572ce276609a</t>
  </si>
  <si>
    <t>57 313 1223290</t>
  </si>
  <si>
    <t>una película que tenga giros pero que no confunda</t>
  </si>
  <si>
    <t>537468d6-ddb1-4443-a6ae-0cd691b3c0a0</t>
  </si>
  <si>
    <t>57 315 0186808</t>
  </si>
  <si>
    <t>películas de ciencia ficción con viajes en el tiempo</t>
  </si>
  <si>
    <t>Project Almanac</t>
  </si>
  <si>
    <t>53ae2772-85b2-4bf2-8d4b-34c37be32ddc</t>
  </si>
  <si>
    <t>57 315 7056096</t>
  </si>
  <si>
    <t>acción con espionaje y tecnología</t>
  </si>
  <si>
    <t>53fe998e-bdb0-4ffd-8ce2-5ada36ef7870</t>
  </si>
  <si>
    <t>57 314 3014102</t>
  </si>
  <si>
    <t>ciencia ficción futurista pero realista</t>
  </si>
  <si>
    <t>54f77d3d-64d9-4962-a72c-2caafa319706</t>
  </si>
  <si>
    <t>57 313 2240870</t>
  </si>
  <si>
    <t>Películas de fantasía épicas</t>
  </si>
  <si>
    <t>56135232-1260-4d42-b088-b968caff3fca</t>
  </si>
  <si>
    <t>57 315 6242969</t>
  </si>
  <si>
    <t>películas de fantasía con magia</t>
  </si>
  <si>
    <t>The Metropolitan Opera: Puccini's La Rondine</t>
  </si>
  <si>
    <t>567ce16e-e5e5-4d2c-8952-2d4f42d6d237</t>
  </si>
  <si>
    <t>57 311 6838187</t>
  </si>
  <si>
    <t>algo que tenga buena trama pero no sea lenta</t>
  </si>
  <si>
    <t>56a1c2f1-5b0e-468d-9a93-b44a27694337</t>
  </si>
  <si>
    <t>57 315 6267655</t>
  </si>
  <si>
    <t>terror con casas embrujadas</t>
  </si>
  <si>
    <t>Piazza Fontana: The Italian Conspiracy</t>
  </si>
  <si>
    <t>5711ac8b-98b8-4ef5-bb78-3d41ea6654d2</t>
  </si>
  <si>
    <t>57 313 7759672</t>
  </si>
  <si>
    <t>algo como Avengers</t>
  </si>
  <si>
    <t>584c63fb-1cd0-431c-a57c-be4a6cc86c12</t>
  </si>
  <si>
    <t>57 314 5100778</t>
  </si>
  <si>
    <t>romance de época con drama</t>
  </si>
  <si>
    <t>5893e890-c0b9-4c13-87a7-ad3713385448</t>
  </si>
  <si>
    <t>57 311 7291505</t>
  </si>
  <si>
    <t>algo como Interstellar</t>
  </si>
  <si>
    <t>Interstellar</t>
  </si>
  <si>
    <t>5893f3ab-851d-4ecd-bbc1-44a451e82273</t>
  </si>
  <si>
    <t>57 315 5918182</t>
  </si>
  <si>
    <t>peliculas de abogados</t>
  </si>
  <si>
    <t>serie de abogados</t>
  </si>
  <si>
    <t>explorar mas opciones de leyes y juicios</t>
  </si>
  <si>
    <t>similares a law order</t>
  </si>
  <si>
    <t>Law School</t>
  </si>
  <si>
    <t>5958494e-0cfb-45d3-8437-d4cbf3809c43</t>
  </si>
  <si>
    <t>57 313 9524984</t>
  </si>
  <si>
    <t>acción con estrategia y planificación</t>
  </si>
  <si>
    <t>Profits et pertes : enquête sur les spéculateurs de la crise et du chaos</t>
  </si>
  <si>
    <t>59b3a795-e3ff-4658-b026-8e0126c694de</t>
  </si>
  <si>
    <t>57 318 6807351</t>
  </si>
  <si>
    <t>algo que sea envolvente pero fácil de seguir</t>
  </si>
  <si>
    <t>59b6a6da-47f5-41ad-8a55-1d6b26d6e9b6</t>
  </si>
  <si>
    <t>57 350 4331557</t>
  </si>
  <si>
    <t>Películas de suspenso intensas</t>
  </si>
  <si>
    <t>59c3c9f8-211a-488d-871f-46b6f1a33dc2</t>
  </si>
  <si>
    <t>57 318 0189033</t>
  </si>
  <si>
    <t>una película que sea emocionante pero clara</t>
  </si>
  <si>
    <t>5b22a031-70f0-4090-877c-5d8436b15f04</t>
  </si>
  <si>
    <t>57 320 4638760</t>
  </si>
  <si>
    <t>Películas de ciencia ficción populares</t>
  </si>
  <si>
    <t>Cristóbal Balenciaga</t>
  </si>
  <si>
    <t>5c387b24-6764-4e41-a70f-a6f802ae29cf</t>
  </si>
  <si>
    <t>57 313 9165694</t>
  </si>
  <si>
    <t>terror con asesinos</t>
  </si>
  <si>
    <t>5d1d8a45-659f-4feb-ac7b-e3181d2de03d</t>
  </si>
  <si>
    <t>57 314 3333552</t>
  </si>
  <si>
    <t>quiero algo que sea interesante pero no pesado</t>
  </si>
  <si>
    <t>5d3164b4-a765-4f8e-a3ea-15a0b8a9fbe0</t>
  </si>
  <si>
    <t>57 316 7205983</t>
  </si>
  <si>
    <t>algo como Fight Club</t>
  </si>
  <si>
    <t>Fear</t>
  </si>
  <si>
    <t>5dd4767b-9b27-4bd6-9c54-1be3f17a3a80</t>
  </si>
  <si>
    <t>57 318 0071967</t>
  </si>
  <si>
    <t>quiero algo intenso pero que no me estrese</t>
  </si>
  <si>
    <t>5e0a76f2-30ef-4036-9f41-6767f0db5abc</t>
  </si>
  <si>
    <t>dame una recomendacion para peliculas de robots y peleas</t>
  </si>
  <si>
    <t>5ee780ad-0e7c-4b7c-9c92-a162dc291bf0</t>
  </si>
  <si>
    <t>57 316 1782207</t>
  </si>
  <si>
    <t>acción con aventura y exploración</t>
  </si>
  <si>
    <t>The Surgeon of the Rusty Knife</t>
  </si>
  <si>
    <t>5f2029a4-4f77-41c6-bf6e-5048b8ba670a</t>
  </si>
  <si>
    <t>57 314 8958683</t>
  </si>
  <si>
    <t>películas de aventura en la selva</t>
  </si>
  <si>
    <t>Vacanze di Natale a Cortina</t>
  </si>
  <si>
    <t>5f4503d7-d9a1-4f17-84b6-99b95a9ae188</t>
  </si>
  <si>
    <t>57 317 4909140</t>
  </si>
  <si>
    <t>ciencia ficción con tecnología avanzada</t>
  </si>
  <si>
    <t>60b58309-783c-4ee5-bc21-463b838b92b7</t>
  </si>
  <si>
    <t>57 313 0625834</t>
  </si>
  <si>
    <t>ciencia ficción con enfoque emocional</t>
  </si>
  <si>
    <t>6114b0a7-bf4d-4880-b312-4829f7f5a19e</t>
  </si>
  <si>
    <t>57 313 1259303</t>
  </si>
  <si>
    <t>romance complicado</t>
  </si>
  <si>
    <t>621f8839-f1d3-4d8d-a9cf-6287ce3ec223</t>
  </si>
  <si>
    <t>57 318 3707239</t>
  </si>
  <si>
    <t>acción con superhéroes</t>
  </si>
  <si>
    <t>PJ Masks: Music Videos</t>
  </si>
  <si>
    <t>63b08277-d461-4adf-9fc6-a7dd16c78222</t>
  </si>
  <si>
    <t>57 311 0912942</t>
  </si>
  <si>
    <t>películas tipo A Quiet Place</t>
  </si>
  <si>
    <t>Forevermore</t>
  </si>
  <si>
    <t>658bc91f-e3a9-4616-80d8-aef5c4385f19</t>
  </si>
  <si>
    <t>57 313 1184989</t>
  </si>
  <si>
    <t>romance moderno con conflictos reales</t>
  </si>
  <si>
    <t>658cc6dc-c863-4a96-9066-00facd32818a</t>
  </si>
  <si>
    <t>57 311 5823075</t>
  </si>
  <si>
    <t>algo como The Martian</t>
  </si>
  <si>
    <t>The Expanse</t>
  </si>
  <si>
    <t>65c14813-78f5-42e2-90a2-292a2bea0375</t>
  </si>
  <si>
    <t>57 316 6753083</t>
  </si>
  <si>
    <t>romance dramático</t>
  </si>
  <si>
    <t>Romancero</t>
  </si>
  <si>
    <t>667b153a-33cf-4868-b85f-8c29e5c39037</t>
  </si>
  <si>
    <t>57 314 8806810</t>
  </si>
  <si>
    <t>me gustó Doctor Strange, algo así</t>
  </si>
  <si>
    <t>Doctor Strange in the Multiverse of Madness</t>
  </si>
  <si>
    <t>67c7680b-6e02-4568-a329-e375414753b8</t>
  </si>
  <si>
    <t>57 319 8744710</t>
  </si>
  <si>
    <t>algo recomendado</t>
  </si>
  <si>
    <t>Aliados</t>
  </si>
  <si>
    <t>680d14f3-16d2-4915-818c-2637208045e9</t>
  </si>
  <si>
    <t>57 313 1542902</t>
  </si>
  <si>
    <t>romance moderno</t>
  </si>
  <si>
    <t>6929d705-d6f9-406c-8d34-9a284b66cc43</t>
  </si>
  <si>
    <t>57 319 9077595</t>
  </si>
  <si>
    <t>una peli que tenga suspenso pero que se entienda bien</t>
  </si>
  <si>
    <t>695cd73f-1759-4d9d-afda-d0c12ab6d2a8</t>
  </si>
  <si>
    <t>57 301 5989061</t>
  </si>
  <si>
    <t>Cabrujas en el país del disimulo</t>
  </si>
  <si>
    <t>una peli sobre un robo millonario</t>
  </si>
  <si>
    <t>Romário, o Cara</t>
  </si>
  <si>
    <t>6b5a691d-0025-4dd8-bffb-aa9dcd91441d</t>
  </si>
  <si>
    <t>57 314 7799236</t>
  </si>
  <si>
    <t>me gustó Coco, algo así</t>
  </si>
  <si>
    <t>A Celebration of the Music from Coco</t>
  </si>
  <si>
    <t>6b677c1a-18f2-458a-ad36-ba7d83c49db7</t>
  </si>
  <si>
    <t>57 313 0756365</t>
  </si>
  <si>
    <t>ciencia ficción compleja pero entretenida</t>
  </si>
  <si>
    <t>6b9eccbb-0309-49f6-b6f7-63803fa4ed9f</t>
  </si>
  <si>
    <t>57 318 1333033</t>
  </si>
  <si>
    <t>algo que sea interesante sin ser complicado</t>
  </si>
  <si>
    <t>6c15d078-a9a2-4d0e-9828-9fc67c124a21</t>
  </si>
  <si>
    <t>57 312 5114061</t>
  </si>
  <si>
    <t>una peli decente</t>
  </si>
  <si>
    <t>Still a Mystery</t>
  </si>
  <si>
    <t>6c204ca5-72d6-4370-8a33-ac86d51b03cf</t>
  </si>
  <si>
    <t>57 314 8030086</t>
  </si>
  <si>
    <t>películas de acción rápidas</t>
  </si>
  <si>
    <t>6de59ea5-b5ef-43fb-bbd5-18e124b94407</t>
  </si>
  <si>
    <t>57 311 7519626</t>
  </si>
  <si>
    <t>algo para desconectar</t>
  </si>
  <si>
    <t>6e9d561b-2535-49c0-af9d-8db77609329e</t>
  </si>
  <si>
    <t>57 319 2096035</t>
  </si>
  <si>
    <t>quiero algo que me saque de la rutina pero que sea disfrutable</t>
  </si>
  <si>
    <t>73e4f809-0f88-4b04-837a-4373beef28e0</t>
  </si>
  <si>
    <t>57 312 7891299</t>
  </si>
  <si>
    <t>películas de acción con mucha adrenalina</t>
  </si>
  <si>
    <t>73f91bb2-9a7e-4c43-a184-1a55bd0f1bfc</t>
  </si>
  <si>
    <t>57 312 2039723</t>
  </si>
  <si>
    <t>algo que valga la pena</t>
  </si>
  <si>
    <t>742c135a-a19f-498b-9a01-f02f3a395dfd</t>
  </si>
  <si>
    <t>57 319 1268038</t>
  </si>
  <si>
    <t>algo como The Hunger Games</t>
  </si>
  <si>
    <t>Guy's Grocery Games</t>
  </si>
  <si>
    <t>7449fb08-2594-48e7-8ec7-a288352e296c</t>
  </si>
  <si>
    <t>57 314 1085967</t>
  </si>
  <si>
    <t>algo para ver ahora</t>
  </si>
  <si>
    <t>Para Gases... los mios</t>
  </si>
  <si>
    <t>755ca381-5d16-4e7f-be83-73883034cd78</t>
  </si>
  <si>
    <t>57 315 2028844</t>
  </si>
  <si>
    <t>una peli que tenga emoción pero sin exagerar</t>
  </si>
  <si>
    <t>7667ad71-f10e-4ce1-8cdb-0b485158cd03</t>
  </si>
  <si>
    <t>57 317 3577146</t>
  </si>
  <si>
    <t>quiero ver algo interesante pero que no me aburra</t>
  </si>
  <si>
    <t>76aeb843-d89b-4637-816e-47ea1096171d</t>
  </si>
  <si>
    <t>cual de esas seria mas parecida a arrival</t>
  </si>
  <si>
    <t>La promesa</t>
  </si>
  <si>
    <t>77066d84-37ac-4c2a-a865-821c2d7b27f5</t>
  </si>
  <si>
    <t>57 311 0515691</t>
  </si>
  <si>
    <t>romance en época antigua</t>
  </si>
  <si>
    <t>770934d9-e76c-4c25-9439-2e7737d904da</t>
  </si>
  <si>
    <t>una peli de narcos</t>
  </si>
  <si>
    <t>Narcos: Mexico</t>
  </si>
  <si>
    <t>7712861d-7933-4ec9-b201-bbed5b88c2a6</t>
  </si>
  <si>
    <t>57 319 5073762</t>
  </si>
  <si>
    <t>películas de suspenso con crimen</t>
  </si>
  <si>
    <t>Rabbies</t>
  </si>
  <si>
    <t>77e0a25f-b6ef-4912-a9b8-6b9d7f16c514</t>
  </si>
  <si>
    <t>57 319 4602434</t>
  </si>
  <si>
    <t>terror con ambientes oscuros</t>
  </si>
  <si>
    <t>797975fb-5e94-45ef-b6c4-4e3ec1cf588a</t>
  </si>
  <si>
    <t>57 312 8047427</t>
  </si>
  <si>
    <t>una peli que sea profunda pero entretenida</t>
  </si>
  <si>
    <t>57 313 7669392</t>
  </si>
  <si>
    <t>7a6b317c-72fd-4e14-8fff-6707a32ad4c2</t>
  </si>
  <si>
    <t>57 312 7416497</t>
  </si>
  <si>
    <t>algo como The Notebook</t>
  </si>
  <si>
    <t>The Vow</t>
  </si>
  <si>
    <t>7a82737c-65ed-4a44-a451-53e85348543f</t>
  </si>
  <si>
    <t>57 318 5569632</t>
  </si>
  <si>
    <t>una peli que valga la pena ver</t>
  </si>
  <si>
    <t>7b6a2e0b-ed6d-48a5-8b34-c78ee429c4fb</t>
  </si>
  <si>
    <t>57 315 5217110</t>
  </si>
  <si>
    <t>una película que tenga buena historia pero que sea fácil de seguir</t>
  </si>
  <si>
    <t>7baa4d02-3eaf-40d6-8cf1-9fb53695da9f</t>
  </si>
  <si>
    <t>peliculas de resiliencia</t>
  </si>
  <si>
    <t>o celda 07</t>
  </si>
  <si>
    <t>The Impossible Heir</t>
  </si>
  <si>
    <t>milagro en la celda 7</t>
  </si>
  <si>
    <t>7bc56fbc-d4e3-4e33-9a20-d46a50c95115</t>
  </si>
  <si>
    <t>57 316 0768926</t>
  </si>
  <si>
    <t>algo para ver tranquilo</t>
  </si>
  <si>
    <t>I Am Curious (Yellow)</t>
  </si>
  <si>
    <t>7c655615-0bbc-4974-b7ee-6dee63b8a3fd</t>
  </si>
  <si>
    <t>57 314 2985510</t>
  </si>
  <si>
    <t>películas de acción con guerras</t>
  </si>
  <si>
    <t>Ebre, del bressol a la batalla</t>
  </si>
  <si>
    <t>7c6e36e2-f4f2-422a-ad13-0b40182eb09a</t>
  </si>
  <si>
    <t>57 311 2751687</t>
  </si>
  <si>
    <t>una peli que tenga buen ritmo pero que también haga pensar</t>
  </si>
  <si>
    <t>7ca12702-69a7-44d3-b13e-a2de33cd45cb</t>
  </si>
  <si>
    <t>57 313 5436203</t>
  </si>
  <si>
    <t>una peli que no sea complicada pero que tenga fondo</t>
  </si>
  <si>
    <t>7d7e081f-b306-4b87-9fe3-e0081a55db25</t>
  </si>
  <si>
    <t>recomiendame algo del estilo de demon slayer</t>
  </si>
  <si>
    <t>Demon Slayer: Kimetsu no Yaiba Infinity Castle</t>
  </si>
  <si>
    <t>7ddae252-ed97-461f-a30f-b0ee9883d36b</t>
  </si>
  <si>
    <t>57 314 5895774</t>
  </si>
  <si>
    <t>recomiéndame una peli</t>
  </si>
  <si>
    <t>7f4ab135-befe-4ee4-b292-054f1a49d260</t>
  </si>
  <si>
    <t>57 315 6644865</t>
  </si>
  <si>
    <t>terror con tensión constante</t>
  </si>
  <si>
    <t>Complicit</t>
  </si>
  <si>
    <t>8194c28e-643b-400d-95f3-9daf25c7e193</t>
  </si>
  <si>
    <t>57 316 2344554</t>
  </si>
  <si>
    <t>una película interesante</t>
  </si>
  <si>
    <t>8262d4e6-fa34-42d5-a824-df9b446f7eac</t>
  </si>
  <si>
    <t>57 312 4023499</t>
  </si>
  <si>
    <t>terror psicológico sin jumpscares exagerados</t>
  </si>
  <si>
    <t>82ad5612-8800-41cb-88e0-a7539a059a1c</t>
  </si>
  <si>
    <t>57 316 1632590</t>
  </si>
  <si>
    <t>me gustó La La Land, algo similar</t>
  </si>
  <si>
    <t>Still</t>
  </si>
  <si>
    <t>8461896b-bb71-4f2c-92bf-74cd5714500e</t>
  </si>
  <si>
    <t>57 311 5460940</t>
  </si>
  <si>
    <t>quiero algo emocionante pero no exagerado</t>
  </si>
  <si>
    <t>84e5822a-6b16-48ab-844f-38d311c03263</t>
  </si>
  <si>
    <t>57 315 5811457</t>
  </si>
  <si>
    <t>ciencia ficción con inteligencia artificial y dilemas éticos</t>
  </si>
  <si>
    <t>Parallel Minds</t>
  </si>
  <si>
    <t>853ab7af-9833-4dcb-97ca-9d4661a3e5bf</t>
  </si>
  <si>
    <t>57 316 3222267</t>
  </si>
  <si>
    <t>algo que tenga buena historia pero que no sea pesada</t>
  </si>
  <si>
    <t>8694bc8d-da29-46ec-8682-7b7f549593f8</t>
  </si>
  <si>
    <t>recomienda me series como chica vampiro</t>
  </si>
  <si>
    <t>Misericordia: The Last Mystery of Kristo Vampiro</t>
  </si>
  <si>
    <t>parecido a diario de vampiros</t>
  </si>
  <si>
    <t>Nail in the Coffin: The Fall and Rise of Vampiro</t>
  </si>
  <si>
    <t>87ab1610-6519-49fa-8fd6-d8fdc25c5b7c</t>
  </si>
  <si>
    <t>57 316 6434033</t>
  </si>
  <si>
    <t>terror oscuro con historia profunda</t>
  </si>
  <si>
    <t>The Moro Affair</t>
  </si>
  <si>
    <t>87bb8727-fbc9-4034-95ea-5a95af9d48d0</t>
  </si>
  <si>
    <t>una pelicula de batman de las primeras</t>
  </si>
  <si>
    <t>peliculas y series de batman</t>
  </si>
  <si>
    <t>Batman Beyond</t>
  </si>
  <si>
    <t>89e86f6b-f915-497e-9868-64e01ff934b1</t>
  </si>
  <si>
    <t>57 314 5925716</t>
  </si>
  <si>
    <t>una película que guste</t>
  </si>
  <si>
    <t>8a6cc920-4e85-4521-9bdb-0c98017c5002</t>
  </si>
  <si>
    <t>57 319 8531073</t>
  </si>
  <si>
    <t>ciencia ficción con algo de comedia</t>
  </si>
  <si>
    <t>Psiconautas</t>
  </si>
  <si>
    <t>8ac3d0fa-20b2-4dea-aaac-b4cf71d80245</t>
  </si>
  <si>
    <t>rambo</t>
  </si>
  <si>
    <t>Rambo</t>
  </si>
  <si>
    <t>8b6ddfa7-bdef-4719-a978-c4770655a7fe</t>
  </si>
  <si>
    <t>57 318 2174887</t>
  </si>
  <si>
    <t>una película que no falle</t>
  </si>
  <si>
    <t>8ba47f37-03a1-4ef8-a968-fc8aae76759e</t>
  </si>
  <si>
    <t>57 319 6283874</t>
  </si>
  <si>
    <t>algo como Edge of Tomorrow</t>
  </si>
  <si>
    <t>Her</t>
  </si>
  <si>
    <t>8bfbf1fe-0fe6-490d-ba35-d89187dcd80e</t>
  </si>
  <si>
    <t>57 313 2104443</t>
  </si>
  <si>
    <t>películas tipo John Wick</t>
  </si>
  <si>
    <t>8c037b59-1559-4615-b0b7-9097227dbcae</t>
  </si>
  <si>
    <t>57 312 6325909</t>
  </si>
  <si>
    <t>películas tipo Seven</t>
  </si>
  <si>
    <t>8c115acb-edcf-4f5f-95f6-3e4dc0db190b</t>
  </si>
  <si>
    <t>una peli sobre narcos</t>
  </si>
  <si>
    <t>Narcos</t>
  </si>
  <si>
    <t>8cae7930-6a82-40d8-b497-bd519ca041dd</t>
  </si>
  <si>
    <t>57 316 6571571</t>
  </si>
  <si>
    <t>ciencia ficción con viajes espaciales y drama</t>
  </si>
  <si>
    <t>Traición</t>
  </si>
  <si>
    <t>8cbd061e-e748-456b-a9a3-e7570837d4f1</t>
  </si>
  <si>
    <t>57 314 0210624</t>
  </si>
  <si>
    <t>quiero una película que me haga sentir algo pero no tristeza</t>
  </si>
  <si>
    <t>8d7187ae-1303-4954-9d48-cb80f90d3512</t>
  </si>
  <si>
    <t>57 316 3076833</t>
  </si>
  <si>
    <t>algo interesante</t>
  </si>
  <si>
    <t>8e1d5207-e42a-43cc-afc2-55932c3c6daa</t>
  </si>
  <si>
    <t>57 314 4078607</t>
  </si>
  <si>
    <t>ciencia ficción con viajes espaciales</t>
  </si>
  <si>
    <t>914db23d-1199-440d-a3f0-6d80aa20f7a8</t>
  </si>
  <si>
    <t>57 313 4871092</t>
  </si>
  <si>
    <t>algo como Pirates of the Caribbean</t>
  </si>
  <si>
    <t>Jake and the Never Land Pirates</t>
  </si>
  <si>
    <t>914de4ad-ba4b-41a2-91c1-9b8309ed8fce</t>
  </si>
  <si>
    <t>57 317 2817249</t>
  </si>
  <si>
    <t>algo fácil de ver</t>
  </si>
  <si>
    <t>Fácil</t>
  </si>
  <si>
    <t>9283d613-de08-4f44-b384-938f5152edd0</t>
  </si>
  <si>
    <t>57 316 3827517</t>
  </si>
  <si>
    <t>una peli para distraerme</t>
  </si>
  <si>
    <t>93281da9-0e7f-4fb2-b6d4-08e944c5431f</t>
  </si>
  <si>
    <t>57 315 3720380</t>
  </si>
  <si>
    <t>películas de acción con misiones</t>
  </si>
  <si>
    <t>A Rooster for Esculapio</t>
  </si>
  <si>
    <t>9461f90d-695e-4558-a59a-47da68a89c61</t>
  </si>
  <si>
    <t>57 316 7142463</t>
  </si>
  <si>
    <t>acción con guerras pero centrada en personajes</t>
  </si>
  <si>
    <t>Natural Born Narco</t>
  </si>
  <si>
    <t>970f4457-3619-4773-9441-ae08e29b8fc7</t>
  </si>
  <si>
    <t>57 314 9990651</t>
  </si>
  <si>
    <t>dame una recomendación</t>
  </si>
  <si>
    <t>982c29f9-ca62-4d74-820c-d3f4da6a04db</t>
  </si>
  <si>
    <t>57 311 6810904</t>
  </si>
  <si>
    <t>una película que recomiendes</t>
  </si>
  <si>
    <t>99ad7804-e3d2-4f9d-9017-1977609669b6</t>
  </si>
  <si>
    <t>57 312 3008605</t>
  </si>
  <si>
    <t>una película popular</t>
  </si>
  <si>
    <t>99ba69a6-03c1-4694-81df-d309488dcec6</t>
  </si>
  <si>
    <t>57 317 0446491</t>
  </si>
  <si>
    <t>quiero algo que me deje satisfecho al final</t>
  </si>
  <si>
    <t>9b029145-0bd2-4a94-bedd-6f40813ec2a3</t>
  </si>
  <si>
    <t>57 319 7755485</t>
  </si>
  <si>
    <t>algo como The Conjuring</t>
  </si>
  <si>
    <t>The Conjuring</t>
  </si>
  <si>
    <t>9bd5de63-466e-4e40-91b3-3bcc6b4a038d</t>
  </si>
  <si>
    <t>57 317 2281604</t>
  </si>
  <si>
    <t>acción pero con romance</t>
  </si>
  <si>
    <t>9e9c3dee-c01b-4acd-8138-bd71f11af410</t>
  </si>
  <si>
    <t>57 314 8923979</t>
  </si>
  <si>
    <t>terror psicológico intenso</t>
  </si>
  <si>
    <t>9f49039d-d7b5-4883-9029-5d0dd2ed7c5c</t>
  </si>
  <si>
    <t>57 319 5052782</t>
  </si>
  <si>
    <t>algo para ver ya</t>
  </si>
  <si>
    <t>9f672592-f854-4946-a176-fe270095ef87</t>
  </si>
  <si>
    <t>57 316 5436490</t>
  </si>
  <si>
    <t>hola cinemate quien actuo en inglorious bastards como hans landa</t>
  </si>
  <si>
    <t>Three Tough Guys</t>
  </si>
  <si>
    <t>9faee408-70a7-4545-9f21-556707db7ba8</t>
  </si>
  <si>
    <t>57 318 0958793</t>
  </si>
  <si>
    <t>películas de acción con artes marciales</t>
  </si>
  <si>
    <t>9fea5e94-28b1-4cc5-8891-a5e15fcfc58c</t>
  </si>
  <si>
    <t>57 316 4349561</t>
  </si>
  <si>
    <t>películas tipo The Matrix</t>
  </si>
  <si>
    <t>a41a1a66-aa0b-4d9c-bb71-32775f079515</t>
  </si>
  <si>
    <t>57 316 6832011</t>
  </si>
  <si>
    <t>terror con suspenso pero sin mucha sangre</t>
  </si>
  <si>
    <t>a44d3c73-0780-4ca9-a01d-e0c9f5e5e38f</t>
  </si>
  <si>
    <t>57 312 7333746</t>
  </si>
  <si>
    <t>romance con triángulo amoroso</t>
  </si>
  <si>
    <t>a486a7aa-bb49-421f-bfed-c444d0b7dbd8</t>
  </si>
  <si>
    <t>57 317 5145845</t>
  </si>
  <si>
    <t>ciencia ficción con distopías</t>
  </si>
  <si>
    <t>a6645447-ecd1-4705-a8f6-5bc228650835</t>
  </si>
  <si>
    <t>57 316 5593688</t>
  </si>
  <si>
    <t>algo que me sorprenda pero que no sea confuso</t>
  </si>
  <si>
    <t>a8495d3b-720f-4c7a-87ae-ee6e9913b27a</t>
  </si>
  <si>
    <t>57 319 3670093</t>
  </si>
  <si>
    <t>una película agradable</t>
  </si>
  <si>
    <t>a88ad8a1-21bc-4622-ad45-c507a2dc7406</t>
  </si>
  <si>
    <t>57 317 7292458</t>
  </si>
  <si>
    <t>acción con persecuciones y buena trama</t>
  </si>
  <si>
    <t>Sin compasión</t>
  </si>
  <si>
    <t>a8a786e9-45d4-4f44-b36a-557b9eb97cc0</t>
  </si>
  <si>
    <t>57 313 6002270</t>
  </si>
  <si>
    <t>algo bueno sin pensar mucho</t>
  </si>
  <si>
    <t>a8c128c7-7247-4ab0-9eaa-7be9d75fe037</t>
  </si>
  <si>
    <t>57 314 6735906</t>
  </si>
  <si>
    <t>romance juvenil pero no cursi</t>
  </si>
  <si>
    <t>a9814fdb-5a9e-4cc0-9fcc-3c4e656d43ef</t>
  </si>
  <si>
    <t>57 316 9895209</t>
  </si>
  <si>
    <t>ciencia ficción con realidades alternas</t>
  </si>
  <si>
    <t>ab4a239a-0e2c-43bb-94b7-0c54d3971beb</t>
  </si>
  <si>
    <t>57 315 8258122</t>
  </si>
  <si>
    <t>algo que no sea aburrido pero tampoco muy intenso</t>
  </si>
  <si>
    <t>ace06706-9e66-428b-b632-1e2465e70a82</t>
  </si>
  <si>
    <t>57 312 1336233</t>
  </si>
  <si>
    <t>algo que me haga disfrutar sin tener que analizar mucho</t>
  </si>
  <si>
    <t>ae7c0f6b-5e43-4f68-b894-9086ae7fbb3d</t>
  </si>
  <si>
    <t>57 312 5927931</t>
  </si>
  <si>
    <t>películas tipo Shrek</t>
  </si>
  <si>
    <t>Shrek 2</t>
  </si>
  <si>
    <t>af68ab28-0de6-4b6b-9173-8d013d17e19d</t>
  </si>
  <si>
    <t>57 318 8069630</t>
  </si>
  <si>
    <t>me gustan las romanticas</t>
  </si>
  <si>
    <t>quiero una mas nueva</t>
  </si>
  <si>
    <t>af927052-e663-409e-8715-31bcf0bf8242</t>
  </si>
  <si>
    <t>57 312 2057857</t>
  </si>
  <si>
    <t>me gustó Inception, algo parecido</t>
  </si>
  <si>
    <t>Wie man Wünsche beim Schwanz packt</t>
  </si>
  <si>
    <t>b1a340bc-524e-4031-8983-54f3020a7ce5</t>
  </si>
  <si>
    <t>57 319 6921615</t>
  </si>
  <si>
    <t>terror con tensión constante y buen final</t>
  </si>
  <si>
    <t>No Contest II</t>
  </si>
  <si>
    <t>b42556ec-b45f-4aa1-a013-f892bc51f8d0</t>
  </si>
  <si>
    <t>57 316 4828258</t>
  </si>
  <si>
    <t>pelis parecidas a Avatar</t>
  </si>
  <si>
    <t>Enrico IV</t>
  </si>
  <si>
    <t>b439263d-9a70-4e88-9b97-18a4c6695791</t>
  </si>
  <si>
    <t>57 312 9060826</t>
  </si>
  <si>
    <t>películas tipo Divergent</t>
  </si>
  <si>
    <t>b61ffb17-4e31-43ee-aa80-668a1901865a</t>
  </si>
  <si>
    <t>57 319 9401939</t>
  </si>
  <si>
    <t>ciencia ficción con aliens pero enfoque humano</t>
  </si>
  <si>
    <t>b68c90bc-792f-4dc1-bb08-c814c1c215fc</t>
  </si>
  <si>
    <t>57 319 8783473</t>
  </si>
  <si>
    <t>b6c4987f-4733-43c3-9f8f-0e07f42a6c75</t>
  </si>
  <si>
    <t>57 313 9067022</t>
  </si>
  <si>
    <t>me gustó The Maze Runner, algo parecido</t>
  </si>
  <si>
    <t>Labyrinth</t>
  </si>
  <si>
    <t>b74e8e3a-0fd4-45e5-872c-c3f9e496e015</t>
  </si>
  <si>
    <t>57 318 7621817</t>
  </si>
  <si>
    <t>películas tipo Blade Runner</t>
  </si>
  <si>
    <t>Philip K. Dick's Electric Dreams</t>
  </si>
  <si>
    <t>ba5013cc-2ee7-4425-9307-aa18553b2f5a</t>
  </si>
  <si>
    <t>57 319 6321629</t>
  </si>
  <si>
    <t>una peli normal</t>
  </si>
  <si>
    <t>bac4f304-9ab2-4b0e-968d-66ec135e4d7a</t>
  </si>
  <si>
    <t>57 318 3245184</t>
  </si>
  <si>
    <t>algo tipo sci fi pero más emocional que técnico</t>
  </si>
  <si>
    <t>bb13f14e-1435-4834-9f44-cabff8af6254</t>
  </si>
  <si>
    <t>57 318 7317680</t>
  </si>
  <si>
    <t>romance emocional</t>
  </si>
  <si>
    <t>bb8761a3-fef4-4a8d-b17b-409526441dba</t>
  </si>
  <si>
    <t>57 316 7678379</t>
  </si>
  <si>
    <t>películas tipo Transformers</t>
  </si>
  <si>
    <t>Transformers: EarthSpark</t>
  </si>
  <si>
    <t>bc051646-3812-4662-bb5e-266691395ba5</t>
  </si>
  <si>
    <t>57 314 7337704</t>
  </si>
  <si>
    <t>películas tipo The Social Network</t>
  </si>
  <si>
    <t>Extraordinary Attorney Woo</t>
  </si>
  <si>
    <t>bc0a0f89-3fcf-49e4-9d0c-13441d7a5e9e</t>
  </si>
  <si>
    <t>57 319 9143906</t>
  </si>
  <si>
    <t>quiero algo que me haga pensar pero que no sea tan complicado</t>
  </si>
  <si>
    <t>¡Qué madre, tan padre!</t>
  </si>
  <si>
    <t>bc7550b2-cda6-48f9-a637-f5acbab71e06</t>
  </si>
  <si>
    <t>57 312 5470342</t>
  </si>
  <si>
    <t>acción con artes marciales y buena historia</t>
  </si>
  <si>
    <t>Una mano bajo la nieve y otras historias</t>
  </si>
  <si>
    <t>bca133fe-f569-46dd-a22c-1b64c6079ebf</t>
  </si>
  <si>
    <t>57 314 3604905</t>
  </si>
  <si>
    <t>algo que no sea típico pero tampoco muy extraño</t>
  </si>
  <si>
    <t>bcb990a4-2d1b-407f-b3a2-7f7441788e5c</t>
  </si>
  <si>
    <t>57 318 5518733</t>
  </si>
  <si>
    <t>acción con toques de humor</t>
  </si>
  <si>
    <t>Che Kopete: The Movie</t>
  </si>
  <si>
    <t>be7f21bc-ae54-43eb-891a-f5eee1a9ca82</t>
  </si>
  <si>
    <t>57 312 5177049</t>
  </si>
  <si>
    <t>romance juvenil</t>
  </si>
  <si>
    <t>be99a9a2-4638-4a84-bb67-c39837e42465</t>
  </si>
  <si>
    <t>57 312 7347966</t>
  </si>
  <si>
    <t>una buena película</t>
  </si>
  <si>
    <t>c02f9798-5fc4-4cd7-a3aa-aa0f01ed4daf</t>
  </si>
  <si>
    <t>57 312 9372236</t>
  </si>
  <si>
    <t>quiero algo con buena historia y que no sea aburrido</t>
  </si>
  <si>
    <t>c0c52792-6615-4ca6-a249-3403be4294a0</t>
  </si>
  <si>
    <t>57 315 0717770</t>
  </si>
  <si>
    <t>peliculas animadas</t>
  </si>
  <si>
    <t>B-PROJECT</t>
  </si>
  <si>
    <t>c1576453-6fbc-47c4-9e6d-73bc6e9dacbe</t>
  </si>
  <si>
    <t>57 313 5827318</t>
  </si>
  <si>
    <t>ciencia ficción con robots y emociones humanas</t>
  </si>
  <si>
    <t>Real Humans</t>
  </si>
  <si>
    <t>c18b2756-3a1d-4c8a-a38c-17b2888f82f5</t>
  </si>
  <si>
    <t>57 311 9038743</t>
  </si>
  <si>
    <t>terror con tensión y sin mucho gore</t>
  </si>
  <si>
    <t>Hunting Creatures</t>
  </si>
  <si>
    <t>c1a62ced-127f-4fae-8cd6-f60e12debcea</t>
  </si>
  <si>
    <t>dame una pelicula de aliens</t>
  </si>
  <si>
    <t>c2962da4-0e28-4d96-8c4f-56ecca441d95</t>
  </si>
  <si>
    <t>57 313 4315342</t>
  </si>
  <si>
    <t>una peli chévere</t>
  </si>
  <si>
    <t>c2f97981-b223-4b7e-a868-5850e950cc67</t>
  </si>
  <si>
    <t>57 312 2287022</t>
  </si>
  <si>
    <t>terror con asesino pero más psicológico</t>
  </si>
  <si>
    <t>c32fafa2-435e-402b-91c7-eb4e118a3020</t>
  </si>
  <si>
    <t>una pelicula de ovnis y policias</t>
  </si>
  <si>
    <t>Occident</t>
  </si>
  <si>
    <t>c3c2883a-d5d9-489b-b7b5-bca1a55ec3ac</t>
  </si>
  <si>
    <t>57 313 4144412</t>
  </si>
  <si>
    <t>romance adolescente con crecimiento personal</t>
  </si>
  <si>
    <t>c55476cd-e721-465a-bf9e-b8760716bf2f</t>
  </si>
  <si>
    <t>57 311 5817960</t>
  </si>
  <si>
    <t>algo interesante sin más</t>
  </si>
  <si>
    <t>c5cdbfdb-4aa8-4380-8c10-4320ed42981d</t>
  </si>
  <si>
    <t>57 311 2710867</t>
  </si>
  <si>
    <t>algo que esté bien</t>
  </si>
  <si>
    <t>c5ff782e-a3d3-42d0-aa73-580ec74e9ac8</t>
  </si>
  <si>
    <t>serie como diario de vampiros</t>
  </si>
  <si>
    <t>c64c1c4e-2c9d-4916-b4ff-4951a3344dfa</t>
  </si>
  <si>
    <t>57 320 2017839</t>
  </si>
  <si>
    <t>peliculas consideradas de culto</t>
  </si>
  <si>
    <t>The Chosen One</t>
  </si>
  <si>
    <t>c685f229-20c6-47c5-9097-5615d6d46973</t>
  </si>
  <si>
    <t>57 311 1801838</t>
  </si>
  <si>
    <t>romance con drama</t>
  </si>
  <si>
    <t>c7bd6967-0349-4a3a-b098-668b108bfbae</t>
  </si>
  <si>
    <t>57 317 5810492</t>
  </si>
  <si>
    <t>c86791f7-2d87-4988-b240-589e6433359a</t>
  </si>
  <si>
    <t>57 310 4772882</t>
  </si>
  <si>
    <t>nambre</t>
  </si>
  <si>
    <t>Amber</t>
  </si>
  <si>
    <t>c9272f2b-015c-46db-9a77-6b069392409d</t>
  </si>
  <si>
    <t>57 314 8862721</t>
  </si>
  <si>
    <t>quiero algo que me deje pensando pero que disfrute</t>
  </si>
  <si>
    <t>cd7d7ecd-83f1-4ba5-8adb-9c26f84632dd</t>
  </si>
  <si>
    <t>recomienda me novelas como sin senos si hay paraíso</t>
  </si>
  <si>
    <t>Trilussa - Storia d'amore e di poesia</t>
  </si>
  <si>
    <t>una novela que sea de colombia</t>
  </si>
  <si>
    <t>El Señor de los Cielos</t>
  </si>
  <si>
    <t>y series de colombia como sin senos si hay paraíso o el man es german</t>
  </si>
  <si>
    <t>Juanpis González - The Series</t>
  </si>
  <si>
    <t>y una parecida a la reina del flow</t>
  </si>
  <si>
    <t>Flow</t>
  </si>
  <si>
    <t>cdd8cdaf-9cd2-474f-95c4-01440caf608f</t>
  </si>
  <si>
    <t>57 313 4595678</t>
  </si>
  <si>
    <t>Películas musicales populares</t>
  </si>
  <si>
    <t>Kally's Mashup</t>
  </si>
  <si>
    <t>rock</t>
  </si>
  <si>
    <t>Rocky</t>
  </si>
  <si>
    <t>cef44b57-c8e8-4faa-b032-65d93ce27733</t>
  </si>
  <si>
    <t>Bobobobs</t>
  </si>
  <si>
    <t>d06c1763-b499-4d31-946f-2931dc9c1b33</t>
  </si>
  <si>
    <t>57 314 4595434</t>
  </si>
  <si>
    <t>ficcion</t>
  </si>
  <si>
    <t>Fixation</t>
  </si>
  <si>
    <t>d1b038ab-4527-4202-927d-e41c8b2f57f9</t>
  </si>
  <si>
    <t>57 315 0484171</t>
  </si>
  <si>
    <t>terror con monstruos</t>
  </si>
  <si>
    <t>d3da3400-510f-45cf-a461-bcfcc24686b6</t>
  </si>
  <si>
    <t>algo parecido a dune</t>
  </si>
  <si>
    <t>The Great Escapists</t>
  </si>
  <si>
    <t>d4295c17-4d7b-4775-b73a-1890a6095b0e</t>
  </si>
  <si>
    <t>57 313 3825915</t>
  </si>
  <si>
    <t>recomendaciones para series o películas sobre el espacio en Netflix Disney o HBO actualmente estrenadas</t>
  </si>
  <si>
    <t>True Story España</t>
  </si>
  <si>
    <t>recomendaciones de películas sobre el espacio, plataformas para ver</t>
  </si>
  <si>
    <t>El extraño retorno de Diana Salazar</t>
  </si>
  <si>
    <t>puedes darme mas contexto de la segunda opcion</t>
  </si>
  <si>
    <t>Cult Culture: The Poseidon Adventure</t>
  </si>
  <si>
    <t>d44f2de6-e6a4-4672-b095-263d0f80e2c6</t>
  </si>
  <si>
    <t>57 318 5098659</t>
  </si>
  <si>
    <t>me gustó It, algo parecido</t>
  </si>
  <si>
    <t>Millonario a go-go</t>
  </si>
  <si>
    <t>d45abd97-7f45-40c7-8ca3-9a3a13e4f5a3</t>
  </si>
  <si>
    <t>57 315 4661851</t>
  </si>
  <si>
    <t>algo para esta noche</t>
  </si>
  <si>
    <t>d466bcdc-669a-4fa1-9116-0dd761a3aec3</t>
  </si>
  <si>
    <t>57 319 2107176</t>
  </si>
  <si>
    <t>quiero ver una película</t>
  </si>
  <si>
    <t>d52822bc-cce8-4cac-8029-aacfc397fb2f</t>
  </si>
  <si>
    <t>57 317 5515909</t>
  </si>
  <si>
    <t>ciencia ficción pero fácil de entender</t>
  </si>
  <si>
    <t>d55971a3-eddb-440c-9e58-95b14b63cf43</t>
  </si>
  <si>
    <t>57 319 3829162</t>
  </si>
  <si>
    <t>algo que esté bueno</t>
  </si>
  <si>
    <t>d838cc06-a4eb-43cb-87cf-aa38d98490d3</t>
  </si>
  <si>
    <t>57 310 7677418</t>
  </si>
  <si>
    <t>lista de películas de acción mas vistas</t>
  </si>
  <si>
    <t>mejores películas de ciencia ficción</t>
  </si>
  <si>
    <t>si</t>
  </si>
  <si>
    <t>Total DramaRama</t>
  </si>
  <si>
    <t>drama</t>
  </si>
  <si>
    <t>Yudh</t>
  </si>
  <si>
    <t>d8c60a58-88c4-4612-9695-7b38273448d6</t>
  </si>
  <si>
    <t>algo parecido a your name</t>
  </si>
  <si>
    <t>We Are Who We Are</t>
  </si>
  <si>
    <t>d9a4ee6d-4d0a-460a-b0e6-e47e9a46b056</t>
  </si>
  <si>
    <t>57 316 6560294</t>
  </si>
  <si>
    <t>acción con misiones y equipo</t>
  </si>
  <si>
    <t>daf75909-0a53-4801-8371-8fdf42b62493</t>
  </si>
  <si>
    <t>57 311 8411652</t>
  </si>
  <si>
    <t>terror con monstruos pero más suspenso que sustos</t>
  </si>
  <si>
    <t>db3c3f49-3965-4ea1-b695-d5114496b465</t>
  </si>
  <si>
    <t>57 316 7405894</t>
  </si>
  <si>
    <t>algo que me atrape rápido pero no sea superficial</t>
  </si>
  <si>
    <t>dc5e7ca9-438f-41e5-a566-037503084f22</t>
  </si>
  <si>
    <t>57 314 0640839</t>
  </si>
  <si>
    <t>películas tipo Harry Potter</t>
  </si>
  <si>
    <t>dcf7c023-c4d2-4f5b-893b-6ee12ac9405f</t>
  </si>
  <si>
    <t>57 319 3531397</t>
  </si>
  <si>
    <t>algo que sea distinto pero que conecte conmigo</t>
  </si>
  <si>
    <t>dd17b07b-afea-49a6-9ae5-20f6660d3ac7</t>
  </si>
  <si>
    <t>57 319 5847119</t>
  </si>
  <si>
    <t>una peli relajada</t>
  </si>
  <si>
    <t>df959dee-1d11-4238-8d6e-6e14a88fac6c</t>
  </si>
  <si>
    <t>57 317 6531730</t>
  </si>
  <si>
    <t>quiero una película que fluya bien y no se sienta larga</t>
  </si>
  <si>
    <t>e08b5b69-8d07-4e26-bdb9-c38c0088968a</t>
  </si>
  <si>
    <t>Películas similares a recomienda algo parecido a the lord of the rings</t>
  </si>
  <si>
    <t>The Lord of the Rings: The Rings of Power</t>
  </si>
  <si>
    <t>informacion sobre la pelicula One Battle after the other</t>
  </si>
  <si>
    <t>Kurukshetra: The Great War of Mahabharata</t>
  </si>
  <si>
    <t>Películas similares a informacion sobre la pelicula one battle after another</t>
  </si>
  <si>
    <t>e242179a-fb16-45b1-94c4-a89dcd7821a3</t>
  </si>
  <si>
    <t>57 319 1141089</t>
  </si>
  <si>
    <t>recomiéndame algo bueno</t>
  </si>
  <si>
    <t>Natale in Sudafrica</t>
  </si>
  <si>
    <t>e29d2f57-6d56-4630-b3f8-aa55984cea3b</t>
  </si>
  <si>
    <t>57 313 7038946</t>
  </si>
  <si>
    <t>una película ligera</t>
  </si>
  <si>
    <t>e3a1bcef-1786-41b4-b6f1-8194fcbbf49d</t>
  </si>
  <si>
    <t>57 316 5231120</t>
  </si>
  <si>
    <t>algo suave para ver</t>
  </si>
  <si>
    <t>El amor que yo te dí</t>
  </si>
  <si>
    <t>e445f493-2beb-4880-9efd-da2ac8938154</t>
  </si>
  <si>
    <t>57 319 7497196</t>
  </si>
  <si>
    <t>una peli que esté bien</t>
  </si>
  <si>
    <t>e4f3b9f6-d8ce-430f-9912-fc5f90bd584c</t>
  </si>
  <si>
    <t>57 314 7329703</t>
  </si>
  <si>
    <t>me gustó Whiplash, algo parecido</t>
  </si>
  <si>
    <t>Drag Race Philippines Untucked!</t>
  </si>
  <si>
    <t>e5d7b6e1-2902-4789-a6e9-6aad95009cb4</t>
  </si>
  <si>
    <t>57 316 6845398</t>
  </si>
  <si>
    <t>e6da317a-9cbf-468f-aedd-d82f5b105299</t>
  </si>
  <si>
    <t>57 316 1378315</t>
  </si>
  <si>
    <t>una peli buena</t>
  </si>
  <si>
    <t>e713624e-b1e9-4311-8d48-c2ff8fafdbb7</t>
  </si>
  <si>
    <t>57 317 1263569</t>
  </si>
  <si>
    <t>películas de acción intensas</t>
  </si>
  <si>
    <t>e7ad220e-2122-47a4-b2a2-fd3bf9ad91f7</t>
  </si>
  <si>
    <t>57 316 5580667</t>
  </si>
  <si>
    <t>algo como Bohemian Rhapsody</t>
  </si>
  <si>
    <t>Bohemian Rhapsody</t>
  </si>
  <si>
    <t>e7e9f639-16c8-4c97-a1b1-1c848c6e93e6</t>
  </si>
  <si>
    <t>recomiendame algo parecido a back to the future</t>
  </si>
  <si>
    <t>Back to the Future</t>
  </si>
  <si>
    <t>gracias</t>
  </si>
  <si>
    <t>The Twilight Zone</t>
  </si>
  <si>
    <t>e80bca83-c6a1-4d1f-a068-b0f0d2ac74da</t>
  </si>
  <si>
    <t>57 315 5815822</t>
  </si>
  <si>
    <t>me gustó Mad Max, algo así</t>
  </si>
  <si>
    <t>e81b9f1a-e8bb-4b70-9415-db166e5882ec</t>
  </si>
  <si>
    <t>57 311 2353367</t>
  </si>
  <si>
    <t>películas de acción con persecuciones</t>
  </si>
  <si>
    <t>e871cccc-9819-45f6-8e3e-25f71f2e0a19</t>
  </si>
  <si>
    <t>57 313 9355778</t>
  </si>
  <si>
    <t>algo que me mantenga enganchado pero sin ser muy pesado</t>
  </si>
  <si>
    <t>e9478ce7-e337-41fb-ac40-3cdac9feb543</t>
  </si>
  <si>
    <t>que info necesitas</t>
  </si>
  <si>
    <t>Películas dramáticas emocionales</t>
  </si>
  <si>
    <t>Sweetheart</t>
  </si>
  <si>
    <t>ec221071-b24b-46f5-bbfd-c9bb9c2d4cb1</t>
  </si>
  <si>
    <t>cuales sin los proximos estrenos en cine</t>
  </si>
  <si>
    <t>efa2e042-cbff-4d79-ba02-3bca3dc3834d</t>
  </si>
  <si>
    <t>57 319 3119970</t>
  </si>
  <si>
    <t>algo entretenido</t>
  </si>
  <si>
    <t>f01a287a-c1e6-4212-9fb4-c323a618bf16</t>
  </si>
  <si>
    <t>57 311 8375214</t>
  </si>
  <si>
    <t>terror con casa embrujada pero bien ambientado</t>
  </si>
  <si>
    <t>La Casa de los Famosos México</t>
  </si>
  <si>
    <t>f03b4474-e3a1-4a04-87b4-f4ed580c5fbf</t>
  </si>
  <si>
    <t>57 313 5918017</t>
  </si>
  <si>
    <t>me gustó Bird Box, algo similar</t>
  </si>
  <si>
    <t>The New Woody Woodpecker Show</t>
  </si>
  <si>
    <t>f0cc0d46-51b5-4f6d-b2e7-650ff0b7ac2e</t>
  </si>
  <si>
    <t>57 312 4123270</t>
  </si>
  <si>
    <t>algo como Gladiator</t>
  </si>
  <si>
    <t>Colossus of the Arena</t>
  </si>
  <si>
    <t>f0ffe380-3a9b-478c-ab81-6a6dea143a40</t>
  </si>
  <si>
    <t>57 319 5366682</t>
  </si>
  <si>
    <t>una película que sea interesante y relajada al mismo tiempo</t>
  </si>
  <si>
    <t>f369af74-eff9-4c0b-83fa-a411d5f235f5</t>
  </si>
  <si>
    <t>57 319 2897981</t>
  </si>
  <si>
    <t>algo como Annabelle</t>
  </si>
  <si>
    <t>Annabelle: Creation</t>
  </si>
  <si>
    <t>f3e9b0d2-e484-4a8e-81ef-c173d4f649ab</t>
  </si>
  <si>
    <t>57 301 2920698</t>
  </si>
  <si>
    <t>severance serie from serie</t>
  </si>
  <si>
    <t>f459e39f-e3d2-4dfe-876f-d418021e5951</t>
  </si>
  <si>
    <t>57 312 0405617</t>
  </si>
  <si>
    <t>películas de intriga política</t>
  </si>
  <si>
    <t>A Man Called Magnum</t>
  </si>
  <si>
    <t>f573224d-255c-4b19-8b1a-28adb0a3482b</t>
  </si>
  <si>
    <t>pelis sobre religion</t>
  </si>
  <si>
    <t>3 Hati Dua Dunia Satu Cinta</t>
  </si>
  <si>
    <t>pelis sobre aliens</t>
  </si>
  <si>
    <t>3Below: Tales of Arcadia</t>
  </si>
  <si>
    <t>f5a4622b-7651-4ed2-a2db-4a16b01f5768</t>
  </si>
  <si>
    <t>dame una serie parecida a friends</t>
  </si>
  <si>
    <t>f609de6c-8d58-4448-8d95-a5096ef68009</t>
  </si>
  <si>
    <t>57 314 9843166</t>
  </si>
  <si>
    <t>ciencia ficción con viajes en el tiempo y romance</t>
  </si>
  <si>
    <t>f66cfaaa-ccff-4b27-801a-f7d3163612b4</t>
  </si>
  <si>
    <t>57 313 2880704</t>
  </si>
  <si>
    <t>películas de terror</t>
  </si>
  <si>
    <t>Four Nights in Fear Forest</t>
  </si>
  <si>
    <t>f6b49006-e4c6-450d-b140-5a12f9d7fd76</t>
  </si>
  <si>
    <t>57 311 4648962</t>
  </si>
  <si>
    <t>quiero algo diferente pero que no sea raro</t>
  </si>
  <si>
    <t>f6d7bc5b-766d-4677-96cb-09aceee3d921</t>
  </si>
  <si>
    <t>57 315 9599689</t>
  </si>
  <si>
    <t>películas tipo Joker</t>
  </si>
  <si>
    <t>f7348c47-7f6d-4a2a-9476-c728a6d16cb1</t>
  </si>
  <si>
    <t>57 315 5167727</t>
  </si>
  <si>
    <t>una peli sencilla</t>
  </si>
  <si>
    <t>f74c5c66-492b-4029-9168-59ef16a4f530</t>
  </si>
  <si>
    <t>57 318 5799011</t>
  </si>
  <si>
    <t>terror psicológico pero no muy fuerte</t>
  </si>
  <si>
    <t>f7c7aac5-00cd-4916-a3b3-014ec5024070</t>
  </si>
  <si>
    <t>57 316 7846212</t>
  </si>
  <si>
    <t>algo como Fast and Furious</t>
  </si>
  <si>
    <t>Fast &amp; Furious Spy Racers</t>
  </si>
  <si>
    <t>f7df6d6a-dbb1-47f5-bdfd-0f9db0ab05c8</t>
  </si>
  <si>
    <t>57 313 8746713</t>
  </si>
  <si>
    <t>me gustó Gone Girl, algo así</t>
  </si>
  <si>
    <t>Fate/kaleid liner Prisma☆Illya 2wei!: Magical Girl in Hot Springs Inn</t>
  </si>
  <si>
    <t>f80997d9-ec4f-4af2-bf42-f05b7c98bd27</t>
  </si>
  <si>
    <t>57 313 0672562</t>
  </si>
  <si>
    <t>f9006061-fd6a-4a5f-9148-3ed6fc9c23d1</t>
  </si>
  <si>
    <t>57 312 9928043</t>
  </si>
  <si>
    <t>romance dramático pero esperanzador</t>
  </si>
  <si>
    <t>f9050c1c-c4e0-4bf5-aacf-cb52bb2ddd67</t>
  </si>
  <si>
    <t>57 319 3132468</t>
  </si>
  <si>
    <t>ciencia ficción con robots avanzados</t>
  </si>
  <si>
    <t>Time of Eve</t>
  </si>
  <si>
    <t>f969f55a-c16b-4e77-951d-53f25d3b347e</t>
  </si>
  <si>
    <t>57 319 1944564</t>
  </si>
  <si>
    <t>romance con diferencias sociales</t>
  </si>
  <si>
    <t>f9bed181-42d7-40b7-a654-03bb7c3f39ed</t>
  </si>
  <si>
    <t>57 318 4021759</t>
  </si>
  <si>
    <t>una peli entretenida</t>
  </si>
  <si>
    <t>fa640d8d-a381-4d86-a6ab-8757bc805b6e</t>
  </si>
  <si>
    <t>57 311 1003990</t>
  </si>
  <si>
    <t>algo como Toy Story</t>
  </si>
  <si>
    <t>Toy Story 2</t>
  </si>
  <si>
    <t>fb223186-ddc0-44c2-8967-580c6b82256e</t>
  </si>
  <si>
    <t>recomienda peliculas de videojuegos</t>
  </si>
  <si>
    <t>Jailer Unlocked</t>
  </si>
  <si>
    <t>fc99b647-fda9-4158-961f-abcb962eb116</t>
  </si>
  <si>
    <t>57 311 5188533</t>
  </si>
  <si>
    <t>ciencia ficción con experimentos y consecuencias</t>
  </si>
  <si>
    <t>fe9645c8-7fee-45b6-bdea-2bbecc960ea6</t>
  </si>
  <si>
    <t>57 313 1228026</t>
  </si>
  <si>
    <t>algo bueno de ver</t>
  </si>
  <si>
    <t>Nobody knows anything</t>
  </si>
  <si>
    <t>ffed07ce-7f6b-406e-be82-86a7a6729c71</t>
  </si>
  <si>
    <t>57 319 4487542</t>
  </si>
  <si>
    <t>romance con algo de comedia ligera</t>
  </si>
  <si>
    <t>Row Labels</t>
  </si>
  <si>
    <t>Grand Total</t>
  </si>
  <si>
    <t>Average of csat_score</t>
  </si>
  <si>
    <t>Average of nps_score</t>
  </si>
  <si>
    <t>Average of resolution_numeric</t>
  </si>
  <si>
    <t>Total</t>
  </si>
  <si>
    <t>Surveys</t>
  </si>
  <si>
    <t>Sum of Total</t>
  </si>
  <si>
    <t>Sum of Surveys</t>
  </si>
  <si>
    <t>Valor original</t>
  </si>
  <si>
    <t>Baja</t>
  </si>
  <si>
    <t>Media</t>
  </si>
  <si>
    <t>Alta</t>
  </si>
  <si>
    <t>csat_category</t>
  </si>
  <si>
    <t>latency_min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</si>
</sst>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5" formatCode="h: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0d81f7f7d39c89d/Documentos/Maestria%20en%20Ingenieria%20y%20Analitica%20de%20Datos/Proyecto%20de%20Grado/CineMate%20AI/data/raw/qa_sessions.xlsx" TargetMode="External"/><Relationship Id="rId1" Type="http://schemas.openxmlformats.org/officeDocument/2006/relationships/externalLinkPath" Target="qa_sess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ts_with_feedback"/>
      <sheetName val="Sheet1"/>
    </sheetNames>
    <sheetDataSet>
      <sheetData sheetId="0">
        <row r="1">
          <cell r="A1" t="str">
            <v>session_id</v>
          </cell>
          <cell r="F1" t="str">
            <v>csat_score</v>
          </cell>
          <cell r="G1" t="str">
            <v>nps_score</v>
          </cell>
          <cell r="J1" t="str">
            <v>resolution_numeric</v>
          </cell>
        </row>
        <row r="2">
          <cell r="A2" t="str">
            <v>2ac0bb83-8c2f-4993-83a5-3bc7c504acb3</v>
          </cell>
          <cell r="F2">
            <v>3</v>
          </cell>
          <cell r="G2">
            <v>7</v>
          </cell>
          <cell r="J2">
            <v>2</v>
          </cell>
        </row>
        <row r="3">
          <cell r="A3" t="str">
            <v>48b4ce6a-07fd-4434-b596-b32aec2cf5ad</v>
          </cell>
          <cell r="F3">
            <v>2</v>
          </cell>
          <cell r="G3">
            <v>3</v>
          </cell>
          <cell r="J3">
            <v>1</v>
          </cell>
        </row>
        <row r="4">
          <cell r="A4" t="str">
            <v>621f8839-f1d3-4d8d-a9cf-6287ce3ec223</v>
          </cell>
          <cell r="F4">
            <v>3</v>
          </cell>
          <cell r="G4">
            <v>7</v>
          </cell>
          <cell r="J4">
            <v>2</v>
          </cell>
        </row>
        <row r="5">
          <cell r="A5" t="str">
            <v>c32fafa2-435e-402b-91c7-eb4e118a3020</v>
          </cell>
          <cell r="F5">
            <v>2</v>
          </cell>
          <cell r="G5">
            <v>3</v>
          </cell>
          <cell r="J5">
            <v>1</v>
          </cell>
        </row>
        <row r="6">
          <cell r="A6" t="str">
            <v>1685093a-d39c-472d-aae2-f8c92886a91a</v>
          </cell>
          <cell r="F6">
            <v>5</v>
          </cell>
          <cell r="G6">
            <v>10</v>
          </cell>
          <cell r="J6">
            <v>3</v>
          </cell>
        </row>
        <row r="7">
          <cell r="A7" t="str">
            <v>f573224d-255c-4b19-8b1a-28adb0a3482b</v>
          </cell>
          <cell r="F7">
            <v>2</v>
          </cell>
          <cell r="G7">
            <v>3</v>
          </cell>
          <cell r="J7">
            <v>1</v>
          </cell>
        </row>
        <row r="8">
          <cell r="A8" t="str">
            <v>f573224d-255c-4b19-8b1a-28adb0a3482b</v>
          </cell>
          <cell r="F8">
            <v>5</v>
          </cell>
          <cell r="G8">
            <v>10</v>
          </cell>
          <cell r="J8">
            <v>3</v>
          </cell>
        </row>
        <row r="9">
          <cell r="A9" t="str">
            <v>f80997d9-ec4f-4af2-bf42-f05b7c98bd27</v>
          </cell>
          <cell r="F9">
            <v>3</v>
          </cell>
          <cell r="G9">
            <v>7</v>
          </cell>
          <cell r="J9">
            <v>2</v>
          </cell>
        </row>
        <row r="10">
          <cell r="A10" t="str">
            <v>c7bd6967-0349-4a3a-b098-668b108bfbae</v>
          </cell>
          <cell r="F10">
            <v>2</v>
          </cell>
          <cell r="G10">
            <v>3</v>
          </cell>
          <cell r="J10">
            <v>1</v>
          </cell>
        </row>
        <row r="11">
          <cell r="A11" t="str">
            <v>4d99f7d0-65bd-486a-8652-6bdc169fb3a2</v>
          </cell>
          <cell r="F11">
            <v>3</v>
          </cell>
          <cell r="G11">
            <v>7</v>
          </cell>
          <cell r="J11">
            <v>2</v>
          </cell>
        </row>
        <row r="12">
          <cell r="A12" t="str">
            <v>af68ab28-0de6-4b6b-9173-8d013d17e19d</v>
          </cell>
          <cell r="F12">
            <v>3</v>
          </cell>
          <cell r="G12">
            <v>7</v>
          </cell>
          <cell r="J12">
            <v>2</v>
          </cell>
        </row>
        <row r="13">
          <cell r="A13" t="str">
            <v>af68ab28-0de6-4b6b-9173-8d013d17e19d</v>
          </cell>
          <cell r="F13">
            <v>3</v>
          </cell>
          <cell r="G13">
            <v>7</v>
          </cell>
          <cell r="J13">
            <v>2</v>
          </cell>
        </row>
        <row r="14">
          <cell r="A14" t="str">
            <v>cef44b57-c8e8-4faa-b032-65d93ce27733</v>
          </cell>
          <cell r="F14">
            <v>2</v>
          </cell>
          <cell r="G14">
            <v>3</v>
          </cell>
          <cell r="J14">
            <v>1</v>
          </cell>
        </row>
        <row r="15">
          <cell r="A15" t="str">
            <v>73e4f809-0f88-4b04-837a-4373beef28e0</v>
          </cell>
          <cell r="F15">
            <v>2</v>
          </cell>
          <cell r="G15">
            <v>3</v>
          </cell>
          <cell r="J15">
            <v>1</v>
          </cell>
        </row>
        <row r="16">
          <cell r="A16" t="str">
            <v>537468d6-ddb1-4443-a6ae-0cd691b3c0a0</v>
          </cell>
          <cell r="F16">
            <v>3</v>
          </cell>
          <cell r="G16">
            <v>7</v>
          </cell>
          <cell r="J16">
            <v>2</v>
          </cell>
        </row>
        <row r="17">
          <cell r="A17" t="str">
            <v>ec221071-b24b-46f5-bbfd-c9bb9c2d4cb1</v>
          </cell>
          <cell r="F17">
            <v>3</v>
          </cell>
          <cell r="G17">
            <v>7</v>
          </cell>
          <cell r="J17">
            <v>2</v>
          </cell>
        </row>
        <row r="18">
          <cell r="A18" t="str">
            <v>073fc00a-e957-4973-aa12-1b018e2ed4fd</v>
          </cell>
          <cell r="F18">
            <v>3</v>
          </cell>
          <cell r="G18">
            <v>7</v>
          </cell>
          <cell r="J18">
            <v>2</v>
          </cell>
        </row>
        <row r="19">
          <cell r="A19" t="str">
            <v>10a67857-fb0e-494c-a5c6-31fb8330e5ab</v>
          </cell>
          <cell r="F19">
            <v>2</v>
          </cell>
          <cell r="G19">
            <v>3</v>
          </cell>
          <cell r="J19">
            <v>1</v>
          </cell>
        </row>
        <row r="20">
          <cell r="A20" t="str">
            <v>1c71a0c6-dc14-4bc0-9460-ece0fad54bbb</v>
          </cell>
          <cell r="F20">
            <v>2</v>
          </cell>
          <cell r="G20">
            <v>3</v>
          </cell>
          <cell r="J20">
            <v>1</v>
          </cell>
        </row>
        <row r="21">
          <cell r="A21" t="str">
            <v>1ce3c66c-1560-4db9-9b77-d1921659e5e9</v>
          </cell>
          <cell r="F21">
            <v>5</v>
          </cell>
          <cell r="G21">
            <v>10</v>
          </cell>
          <cell r="J21">
            <v>3</v>
          </cell>
        </row>
        <row r="22">
          <cell r="A22" t="str">
            <v>3b850703-b59c-4846-a938-4c7c8e5ca215</v>
          </cell>
          <cell r="F22">
            <v>2</v>
          </cell>
          <cell r="G22">
            <v>3</v>
          </cell>
          <cell r="J22">
            <v>1</v>
          </cell>
        </row>
        <row r="23">
          <cell r="A23" t="str">
            <v>54f77d3d-64d9-4962-a72c-2caafa319706</v>
          </cell>
          <cell r="F23">
            <v>2</v>
          </cell>
          <cell r="G23">
            <v>3</v>
          </cell>
          <cell r="J23">
            <v>1</v>
          </cell>
        </row>
        <row r="24">
          <cell r="A24" t="str">
            <v>56135232-1260-4d42-b088-b968caff3fca</v>
          </cell>
          <cell r="F24">
            <v>3</v>
          </cell>
          <cell r="G24">
            <v>7</v>
          </cell>
          <cell r="J24">
            <v>2</v>
          </cell>
        </row>
        <row r="25">
          <cell r="A25" t="str">
            <v>9f672592-f854-4946-a176-fe270095ef87</v>
          </cell>
          <cell r="F25">
            <v>2</v>
          </cell>
          <cell r="G25">
            <v>3</v>
          </cell>
          <cell r="J25">
            <v>1</v>
          </cell>
        </row>
        <row r="26">
          <cell r="A26" t="str">
            <v>c64c1c4e-2c9d-4916-b4ff-4951a3344dfa</v>
          </cell>
          <cell r="F26">
            <v>2</v>
          </cell>
          <cell r="G26">
            <v>3</v>
          </cell>
          <cell r="J26">
            <v>1</v>
          </cell>
        </row>
        <row r="27">
          <cell r="A27" t="str">
            <v>59b6a6da-47f5-41ad-8a55-1d6b26d6e9b6</v>
          </cell>
          <cell r="F27">
            <v>2</v>
          </cell>
          <cell r="G27">
            <v>3</v>
          </cell>
          <cell r="J27">
            <v>1</v>
          </cell>
        </row>
        <row r="28">
          <cell r="A28" t="str">
            <v>c86791f7-2d87-4988-b240-589e6433359a</v>
          </cell>
          <cell r="F28">
            <v>3</v>
          </cell>
          <cell r="G28">
            <v>7</v>
          </cell>
          <cell r="J28">
            <v>2</v>
          </cell>
        </row>
        <row r="29">
          <cell r="A29" t="str">
            <v>f3e9b0d2-e484-4a8e-81ef-c173d4f649ab</v>
          </cell>
          <cell r="F29">
            <v>3</v>
          </cell>
          <cell r="G29">
            <v>7</v>
          </cell>
          <cell r="J29">
            <v>2</v>
          </cell>
        </row>
        <row r="30">
          <cell r="A30" t="str">
            <v>018bd500-cfad-4f2e-be92-f00b6a97f914</v>
          </cell>
          <cell r="F30">
            <v>2</v>
          </cell>
          <cell r="G30">
            <v>3</v>
          </cell>
          <cell r="J30">
            <v>1</v>
          </cell>
        </row>
        <row r="31">
          <cell r="A31" t="str">
            <v>022cd6bf-4c6e-40c2-a956-ff0002089c2f</v>
          </cell>
          <cell r="F31">
            <v>2</v>
          </cell>
          <cell r="G31">
            <v>3</v>
          </cell>
          <cell r="J31">
            <v>1</v>
          </cell>
        </row>
        <row r="32">
          <cell r="A32" t="str">
            <v>023b5b5d-ffb5-479e-b5c2-946af1a8407f</v>
          </cell>
          <cell r="F32">
            <v>3</v>
          </cell>
          <cell r="G32">
            <v>7</v>
          </cell>
          <cell r="J32">
            <v>2</v>
          </cell>
        </row>
        <row r="33">
          <cell r="A33" t="str">
            <v>02d32c7b-9cba-4722-829b-5b1658643d2b</v>
          </cell>
          <cell r="F33">
            <v>2</v>
          </cell>
          <cell r="G33">
            <v>3</v>
          </cell>
          <cell r="J33">
            <v>1</v>
          </cell>
        </row>
        <row r="34">
          <cell r="A34" t="str">
            <v>05f18ee5-0f82-46e6-858d-70869118f388</v>
          </cell>
          <cell r="F34">
            <v>3</v>
          </cell>
          <cell r="G34">
            <v>7</v>
          </cell>
          <cell r="J34">
            <v>2</v>
          </cell>
        </row>
        <row r="35">
          <cell r="A35" t="str">
            <v>07e5c2c6-ebdb-4305-933e-4d5e6af4d33b</v>
          </cell>
          <cell r="F35">
            <v>3</v>
          </cell>
          <cell r="G35">
            <v>7</v>
          </cell>
          <cell r="J35">
            <v>2</v>
          </cell>
        </row>
        <row r="36">
          <cell r="A36" t="str">
            <v>07f8e19b-0596-46fc-ab56-24aaf2410d24</v>
          </cell>
          <cell r="F36">
            <v>2</v>
          </cell>
          <cell r="G36">
            <v>3</v>
          </cell>
          <cell r="J36">
            <v>1</v>
          </cell>
        </row>
        <row r="37">
          <cell r="A37" t="str">
            <v>0819aab1-edc7-4e93-acc4-fdebde5fd1ad</v>
          </cell>
          <cell r="F37">
            <v>2</v>
          </cell>
          <cell r="G37">
            <v>3</v>
          </cell>
          <cell r="J37">
            <v>1</v>
          </cell>
        </row>
        <row r="38">
          <cell r="A38" t="str">
            <v>0907057a-293c-4367-a22e-5fafeb376a72</v>
          </cell>
          <cell r="F38">
            <v>5</v>
          </cell>
          <cell r="G38">
            <v>10</v>
          </cell>
          <cell r="J38">
            <v>3</v>
          </cell>
        </row>
        <row r="39">
          <cell r="A39" t="str">
            <v>0b1ea98b-6625-4d83-8de8-e2e754b175d4</v>
          </cell>
          <cell r="F39">
            <v>5</v>
          </cell>
          <cell r="G39">
            <v>10</v>
          </cell>
          <cell r="J39">
            <v>3</v>
          </cell>
        </row>
        <row r="40">
          <cell r="A40" t="str">
            <v>0c0e096e-51b5-4a81-be8a-0140c5a11a09</v>
          </cell>
          <cell r="F40">
            <v>5</v>
          </cell>
          <cell r="G40">
            <v>10</v>
          </cell>
          <cell r="J40">
            <v>3</v>
          </cell>
        </row>
        <row r="41">
          <cell r="A41" t="str">
            <v>0cccf2bd-3bbc-4e91-a093-b838cf34e5d0</v>
          </cell>
          <cell r="F41">
            <v>2</v>
          </cell>
          <cell r="G41">
            <v>3</v>
          </cell>
          <cell r="J41">
            <v>1</v>
          </cell>
        </row>
        <row r="42">
          <cell r="A42" t="str">
            <v>2e6471e1-d563-4b69-9195-9e595d7ecb7c</v>
          </cell>
          <cell r="F42">
            <v>2</v>
          </cell>
          <cell r="G42">
            <v>3</v>
          </cell>
          <cell r="J42">
            <v>1</v>
          </cell>
        </row>
        <row r="43">
          <cell r="A43" t="str">
            <v>0dc67bfe-df11-4f3d-93f6-7381f1161c6d</v>
          </cell>
          <cell r="F43">
            <v>5</v>
          </cell>
          <cell r="G43">
            <v>10</v>
          </cell>
          <cell r="J43">
            <v>3</v>
          </cell>
        </row>
        <row r="44">
          <cell r="A44" t="str">
            <v>11ab5c2d-a093-4deb-82d4-b7dc0d7d17b1</v>
          </cell>
          <cell r="F44">
            <v>5</v>
          </cell>
          <cell r="G44">
            <v>10</v>
          </cell>
          <cell r="J44">
            <v>3</v>
          </cell>
        </row>
        <row r="45">
          <cell r="A45" t="str">
            <v>1343a49a-f2ac-490f-adb1-fb41baa9dd4b</v>
          </cell>
          <cell r="F45">
            <v>2</v>
          </cell>
          <cell r="G45">
            <v>3</v>
          </cell>
          <cell r="J45">
            <v>1</v>
          </cell>
        </row>
        <row r="46">
          <cell r="A46" t="str">
            <v>19bd5ce4-30a1-4c39-b956-9de1892790bf</v>
          </cell>
          <cell r="F46">
            <v>2</v>
          </cell>
          <cell r="G46">
            <v>3</v>
          </cell>
          <cell r="J46">
            <v>1</v>
          </cell>
        </row>
        <row r="47">
          <cell r="A47" t="str">
            <v>1dc12e13-f366-49c6-91ea-84893c5716a5</v>
          </cell>
          <cell r="F47">
            <v>2</v>
          </cell>
          <cell r="G47">
            <v>3</v>
          </cell>
          <cell r="J47">
            <v>1</v>
          </cell>
        </row>
        <row r="48">
          <cell r="A48" t="str">
            <v>21345970-7969-474d-9d51-fbee2678c522</v>
          </cell>
          <cell r="F48">
            <v>3</v>
          </cell>
          <cell r="G48">
            <v>7</v>
          </cell>
          <cell r="J48">
            <v>2</v>
          </cell>
        </row>
        <row r="49">
          <cell r="A49" t="str">
            <v>217b8b66-0e61-49c2-aaa8-0a8d4bed4137</v>
          </cell>
          <cell r="F49">
            <v>2</v>
          </cell>
          <cell r="G49">
            <v>3</v>
          </cell>
          <cell r="J49">
            <v>1</v>
          </cell>
        </row>
        <row r="50">
          <cell r="A50" t="str">
            <v>262c0dcc-7566-4885-99bc-1cc5db334147</v>
          </cell>
          <cell r="F50">
            <v>2</v>
          </cell>
          <cell r="G50">
            <v>3</v>
          </cell>
          <cell r="J50">
            <v>1</v>
          </cell>
        </row>
        <row r="51">
          <cell r="A51" t="str">
            <v>2caf9919-0a0d-40f2-8927-a60d4a571af1</v>
          </cell>
          <cell r="F51">
            <v>5</v>
          </cell>
          <cell r="G51">
            <v>10</v>
          </cell>
          <cell r="J51">
            <v>3</v>
          </cell>
        </row>
        <row r="52">
          <cell r="A52" t="str">
            <v>30df9703-e96e-43e6-99a6-f60dfeadbdf7</v>
          </cell>
          <cell r="F52">
            <v>2</v>
          </cell>
          <cell r="G52">
            <v>3</v>
          </cell>
          <cell r="J52">
            <v>1</v>
          </cell>
        </row>
        <row r="53">
          <cell r="A53" t="str">
            <v>31016bdc-2b87-43f3-9c82-7139ae329f81</v>
          </cell>
          <cell r="F53">
            <v>2</v>
          </cell>
          <cell r="G53">
            <v>3</v>
          </cell>
          <cell r="J53">
            <v>1</v>
          </cell>
        </row>
        <row r="54">
          <cell r="A54" t="str">
            <v>32ab0ac7-aa50-4c66-8405-4009b48a8c40</v>
          </cell>
          <cell r="F54">
            <v>5</v>
          </cell>
          <cell r="G54">
            <v>10</v>
          </cell>
          <cell r="J54">
            <v>3</v>
          </cell>
        </row>
        <row r="55">
          <cell r="A55" t="str">
            <v>355603ec-6d3f-4991-949a-883f154a9c13</v>
          </cell>
          <cell r="F55">
            <v>3</v>
          </cell>
          <cell r="G55">
            <v>7</v>
          </cell>
          <cell r="J55">
            <v>2</v>
          </cell>
        </row>
        <row r="56">
          <cell r="A56" t="str">
            <v>36af3652-fd36-4eff-8158-1901f971469b</v>
          </cell>
          <cell r="F56">
            <v>3</v>
          </cell>
          <cell r="G56">
            <v>7</v>
          </cell>
          <cell r="J56">
            <v>2</v>
          </cell>
        </row>
        <row r="57">
          <cell r="A57" t="str">
            <v>37da2d1d-603f-4629-862e-8ee1b61a381c</v>
          </cell>
          <cell r="F57">
            <v>3</v>
          </cell>
          <cell r="G57">
            <v>7</v>
          </cell>
          <cell r="J57">
            <v>2</v>
          </cell>
        </row>
        <row r="58">
          <cell r="A58" t="str">
            <v>396b8d95-089f-4500-85c4-36f62a7b994b</v>
          </cell>
          <cell r="F58">
            <v>5</v>
          </cell>
          <cell r="G58">
            <v>10</v>
          </cell>
          <cell r="J58">
            <v>3</v>
          </cell>
        </row>
        <row r="59">
          <cell r="A59" t="str">
            <v>3d821ff1-b619-470b-9ab9-44aa2e583e63</v>
          </cell>
          <cell r="F59">
            <v>3</v>
          </cell>
          <cell r="G59">
            <v>7</v>
          </cell>
          <cell r="J59">
            <v>2</v>
          </cell>
        </row>
        <row r="60">
          <cell r="A60" t="str">
            <v>487d2e23-9a94-4092-9ce4-50494d8a731d</v>
          </cell>
          <cell r="F60">
            <v>2</v>
          </cell>
          <cell r="G60">
            <v>3</v>
          </cell>
          <cell r="J60">
            <v>1</v>
          </cell>
        </row>
        <row r="61">
          <cell r="A61" t="str">
            <v>4a0db322-cc54-4faa-8bad-c907457f7e88</v>
          </cell>
          <cell r="F61">
            <v>5</v>
          </cell>
          <cell r="G61">
            <v>10</v>
          </cell>
          <cell r="J61">
            <v>3</v>
          </cell>
        </row>
        <row r="62">
          <cell r="A62" t="str">
            <v>4eb3630b-9005-473b-8ccf-e70867e8b854</v>
          </cell>
          <cell r="F62">
            <v>5</v>
          </cell>
          <cell r="G62">
            <v>10</v>
          </cell>
          <cell r="J62">
            <v>3</v>
          </cell>
        </row>
        <row r="63">
          <cell r="A63" t="str">
            <v>5176706c-03a4-48aa-b602-f9cc4aebb5eb</v>
          </cell>
          <cell r="F63">
            <v>3</v>
          </cell>
          <cell r="G63">
            <v>7</v>
          </cell>
          <cell r="J63">
            <v>2</v>
          </cell>
        </row>
        <row r="64">
          <cell r="A64" t="str">
            <v>53ae2772-85b2-4bf2-8d4b-34c37be32ddc</v>
          </cell>
          <cell r="F64">
            <v>3</v>
          </cell>
          <cell r="G64">
            <v>7</v>
          </cell>
          <cell r="J64">
            <v>2</v>
          </cell>
        </row>
        <row r="65">
          <cell r="A65" t="str">
            <v>53fe998e-bdb0-4ffd-8ce2-5ada36ef7870</v>
          </cell>
          <cell r="F65">
            <v>2</v>
          </cell>
          <cell r="G65">
            <v>3</v>
          </cell>
          <cell r="J65">
            <v>1</v>
          </cell>
        </row>
        <row r="66">
          <cell r="A66" t="str">
            <v>5711ac8b-98b8-4ef5-bb78-3d41ea6654d2</v>
          </cell>
          <cell r="F66">
            <v>5</v>
          </cell>
          <cell r="G66">
            <v>10</v>
          </cell>
          <cell r="J66">
            <v>3</v>
          </cell>
        </row>
        <row r="67">
          <cell r="A67" t="str">
            <v>584c63fb-1cd0-431c-a57c-be4a6cc86c12</v>
          </cell>
          <cell r="F67">
            <v>5</v>
          </cell>
          <cell r="G67">
            <v>10</v>
          </cell>
          <cell r="J67">
            <v>3</v>
          </cell>
        </row>
        <row r="68">
          <cell r="A68" t="str">
            <v>5893e890-c0b9-4c13-87a7-ad3713385448</v>
          </cell>
          <cell r="F68">
            <v>3</v>
          </cell>
          <cell r="G68">
            <v>7</v>
          </cell>
          <cell r="J68">
            <v>2</v>
          </cell>
        </row>
        <row r="69">
          <cell r="A69" t="str">
            <v>5c387b24-6764-4e41-a70f-a6f802ae29cf</v>
          </cell>
          <cell r="F69">
            <v>3</v>
          </cell>
          <cell r="G69">
            <v>7</v>
          </cell>
          <cell r="J69">
            <v>2</v>
          </cell>
        </row>
        <row r="70">
          <cell r="A70" t="str">
            <v>5d3164b4-a765-4f8e-a3ea-15a0b8a9fbe0</v>
          </cell>
          <cell r="F70">
            <v>3</v>
          </cell>
          <cell r="G70">
            <v>7</v>
          </cell>
          <cell r="J70">
            <v>2</v>
          </cell>
        </row>
        <row r="71">
          <cell r="A71" t="str">
            <v>5f2029a4-4f77-41c6-bf6e-5048b8ba670a</v>
          </cell>
          <cell r="F71">
            <v>2</v>
          </cell>
          <cell r="G71">
            <v>3</v>
          </cell>
          <cell r="J71">
            <v>1</v>
          </cell>
        </row>
        <row r="72">
          <cell r="A72" t="str">
            <v>5f4503d7-d9a1-4f17-84b6-99b95a9ae188</v>
          </cell>
          <cell r="F72">
            <v>2</v>
          </cell>
          <cell r="G72">
            <v>3</v>
          </cell>
          <cell r="J72">
            <v>1</v>
          </cell>
        </row>
        <row r="73">
          <cell r="A73" t="str">
            <v>60b58309-783c-4ee5-bc21-463b838b92b7</v>
          </cell>
          <cell r="F73">
            <v>3</v>
          </cell>
          <cell r="G73">
            <v>7</v>
          </cell>
          <cell r="J73">
            <v>2</v>
          </cell>
        </row>
        <row r="74">
          <cell r="A74" t="str">
            <v>6114b0a7-bf4d-4880-b312-4829f7f5a19e</v>
          </cell>
          <cell r="F74">
            <v>5</v>
          </cell>
          <cell r="G74">
            <v>10</v>
          </cell>
          <cell r="J74">
            <v>3</v>
          </cell>
        </row>
        <row r="75">
          <cell r="A75" t="str">
            <v>b68c90bc-792f-4dc1-bb08-c814c1c215fc</v>
          </cell>
          <cell r="F75">
            <v>2</v>
          </cell>
          <cell r="G75">
            <v>3</v>
          </cell>
          <cell r="J75">
            <v>1</v>
          </cell>
        </row>
        <row r="76">
          <cell r="A76" t="str">
            <v>63b08277-d461-4adf-9fc6-a7dd16c78222</v>
          </cell>
          <cell r="F76">
            <v>2</v>
          </cell>
          <cell r="G76">
            <v>3</v>
          </cell>
          <cell r="J76">
            <v>1</v>
          </cell>
        </row>
        <row r="77">
          <cell r="A77" t="str">
            <v>658bc91f-e3a9-4616-80d8-aef5c4385f19</v>
          </cell>
          <cell r="F77">
            <v>5</v>
          </cell>
          <cell r="G77">
            <v>10</v>
          </cell>
          <cell r="J77">
            <v>3</v>
          </cell>
        </row>
        <row r="78">
          <cell r="A78" t="str">
            <v>658cc6dc-c863-4a96-9066-00facd32818a</v>
          </cell>
          <cell r="F78">
            <v>3</v>
          </cell>
          <cell r="G78">
            <v>7</v>
          </cell>
          <cell r="J78">
            <v>2</v>
          </cell>
        </row>
        <row r="79">
          <cell r="A79" t="str">
            <v>65c14813-78f5-42e2-90a2-292a2bea0375</v>
          </cell>
          <cell r="F79">
            <v>5</v>
          </cell>
          <cell r="G79">
            <v>10</v>
          </cell>
          <cell r="J79">
            <v>3</v>
          </cell>
        </row>
        <row r="80">
          <cell r="A80" t="str">
            <v>667b153a-33cf-4868-b85f-8c29e5c39037</v>
          </cell>
          <cell r="F80">
            <v>3</v>
          </cell>
          <cell r="G80">
            <v>7</v>
          </cell>
          <cell r="J80">
            <v>2</v>
          </cell>
        </row>
        <row r="81">
          <cell r="A81" t="str">
            <v>680d14f3-16d2-4915-818c-2637208045e9</v>
          </cell>
          <cell r="F81">
            <v>5</v>
          </cell>
          <cell r="G81">
            <v>10</v>
          </cell>
          <cell r="J81">
            <v>3</v>
          </cell>
        </row>
        <row r="82">
          <cell r="A82" t="str">
            <v>6b5a691d-0025-4dd8-bffb-aa9dcd91441d</v>
          </cell>
          <cell r="F82">
            <v>3</v>
          </cell>
          <cell r="G82">
            <v>7</v>
          </cell>
          <cell r="J82">
            <v>2</v>
          </cell>
        </row>
        <row r="83">
          <cell r="A83" t="str">
            <v>6b677c1a-18f2-458a-ad36-ba7d83c49db7</v>
          </cell>
          <cell r="F83">
            <v>2</v>
          </cell>
          <cell r="G83">
            <v>3</v>
          </cell>
          <cell r="J83">
            <v>1</v>
          </cell>
        </row>
        <row r="84">
          <cell r="A84" t="str">
            <v>6c204ca5-72d6-4370-8a33-ac86d51b03cf</v>
          </cell>
          <cell r="F84">
            <v>2</v>
          </cell>
          <cell r="G84">
            <v>3</v>
          </cell>
          <cell r="J84">
            <v>1</v>
          </cell>
        </row>
        <row r="85">
          <cell r="A85" t="str">
            <v>742c135a-a19f-498b-9a01-f02f3a395dfd</v>
          </cell>
          <cell r="F85">
            <v>3</v>
          </cell>
          <cell r="G85">
            <v>7</v>
          </cell>
          <cell r="J85">
            <v>2</v>
          </cell>
        </row>
        <row r="86">
          <cell r="A86" t="str">
            <v>77066d84-37ac-4c2a-a865-821c2d7b27f5</v>
          </cell>
          <cell r="F86">
            <v>5</v>
          </cell>
          <cell r="G86">
            <v>10</v>
          </cell>
          <cell r="J86">
            <v>3</v>
          </cell>
        </row>
        <row r="87">
          <cell r="A87" t="str">
            <v>7712861d-7933-4ec9-b201-bbed5b88c2a6</v>
          </cell>
          <cell r="F87">
            <v>3</v>
          </cell>
          <cell r="G87">
            <v>7</v>
          </cell>
          <cell r="J87">
            <v>2</v>
          </cell>
        </row>
        <row r="88">
          <cell r="A88" t="str">
            <v>77e0a25f-b6ef-4912-a9b8-6b9d7f16c514</v>
          </cell>
          <cell r="F88">
            <v>3</v>
          </cell>
          <cell r="G88">
            <v>7</v>
          </cell>
          <cell r="J88">
            <v>2</v>
          </cell>
        </row>
        <row r="89">
          <cell r="A89" t="str">
            <v>7a6b317c-72fd-4e14-8fff-6707a32ad4c2</v>
          </cell>
          <cell r="F89">
            <v>3</v>
          </cell>
          <cell r="G89">
            <v>7</v>
          </cell>
          <cell r="J89">
            <v>2</v>
          </cell>
        </row>
        <row r="90">
          <cell r="A90" t="str">
            <v>7c655615-0bbc-4974-b7ee-6dee63b8a3fd</v>
          </cell>
          <cell r="F90">
            <v>3</v>
          </cell>
          <cell r="G90">
            <v>7</v>
          </cell>
          <cell r="J90">
            <v>2</v>
          </cell>
        </row>
        <row r="91">
          <cell r="A91" t="str">
            <v>7f4ab135-befe-4ee4-b292-054f1a49d260</v>
          </cell>
          <cell r="F91">
            <v>3</v>
          </cell>
          <cell r="G91">
            <v>7</v>
          </cell>
          <cell r="J91">
            <v>2</v>
          </cell>
        </row>
        <row r="92">
          <cell r="A92" t="str">
            <v>8262d4e6-fa34-42d5-a824-df9b446f7eac</v>
          </cell>
          <cell r="F92">
            <v>3</v>
          </cell>
          <cell r="G92">
            <v>7</v>
          </cell>
          <cell r="J92">
            <v>2</v>
          </cell>
        </row>
        <row r="93">
          <cell r="A93" t="str">
            <v>82ad5612-8800-41cb-88e0-a7539a059a1c</v>
          </cell>
          <cell r="F93">
            <v>2</v>
          </cell>
          <cell r="G93">
            <v>3</v>
          </cell>
          <cell r="J93">
            <v>1</v>
          </cell>
        </row>
        <row r="94">
          <cell r="A94" t="str">
            <v>84e5822a-6b16-48ab-844f-38d311c03263</v>
          </cell>
          <cell r="F94">
            <v>3</v>
          </cell>
          <cell r="G94">
            <v>7</v>
          </cell>
          <cell r="J94">
            <v>2</v>
          </cell>
        </row>
        <row r="95">
          <cell r="A95" t="str">
            <v>87ab1610-6519-49fa-8fd6-d8fdc25c5b7c</v>
          </cell>
          <cell r="F95">
            <v>3</v>
          </cell>
          <cell r="G95">
            <v>7</v>
          </cell>
          <cell r="J95">
            <v>2</v>
          </cell>
        </row>
        <row r="96">
          <cell r="A96" t="str">
            <v>8a6cc920-4e85-4521-9bdb-0c98017c5002</v>
          </cell>
          <cell r="F96">
            <v>3</v>
          </cell>
          <cell r="G96">
            <v>7</v>
          </cell>
          <cell r="J96">
            <v>2</v>
          </cell>
        </row>
        <row r="97">
          <cell r="A97" t="str">
            <v>8ba47f37-03a1-4ef8-a968-fc8aae76759e</v>
          </cell>
          <cell r="F97">
            <v>3</v>
          </cell>
          <cell r="G97">
            <v>7</v>
          </cell>
          <cell r="J97">
            <v>2</v>
          </cell>
        </row>
        <row r="98">
          <cell r="A98" t="str">
            <v>8bfbf1fe-0fe6-490d-ba35-d89187dcd80e</v>
          </cell>
          <cell r="F98">
            <v>2</v>
          </cell>
          <cell r="G98">
            <v>3</v>
          </cell>
          <cell r="J98">
            <v>1</v>
          </cell>
        </row>
        <row r="99">
          <cell r="A99" t="str">
            <v>8c037b59-1559-4615-b0b7-9097227dbcae</v>
          </cell>
          <cell r="F99">
            <v>2</v>
          </cell>
          <cell r="G99">
            <v>3</v>
          </cell>
          <cell r="J99">
            <v>1</v>
          </cell>
        </row>
        <row r="100">
          <cell r="A100" t="str">
            <v>8e1d5207-e42a-43cc-afc2-55932c3c6daa</v>
          </cell>
          <cell r="F100">
            <v>3</v>
          </cell>
          <cell r="G100">
            <v>7</v>
          </cell>
          <cell r="J100">
            <v>2</v>
          </cell>
        </row>
        <row r="101">
          <cell r="A101" t="str">
            <v>914db23d-1199-440d-a3f0-6d80aa20f7a8</v>
          </cell>
          <cell r="F101">
            <v>5</v>
          </cell>
          <cell r="G101">
            <v>10</v>
          </cell>
          <cell r="J101">
            <v>3</v>
          </cell>
        </row>
        <row r="102">
          <cell r="A102" t="str">
            <v>93281da9-0e7f-4fb2-b6d4-08e944c5431f</v>
          </cell>
          <cell r="F102">
            <v>2</v>
          </cell>
          <cell r="G102">
            <v>3</v>
          </cell>
          <cell r="J102">
            <v>1</v>
          </cell>
        </row>
        <row r="103">
          <cell r="A103" t="str">
            <v>9461f90d-695e-4558-a59a-47da68a89c61</v>
          </cell>
          <cell r="F103">
            <v>2</v>
          </cell>
          <cell r="G103">
            <v>3</v>
          </cell>
          <cell r="J103">
            <v>1</v>
          </cell>
        </row>
        <row r="104">
          <cell r="A104" t="str">
            <v>9b029145-0bd2-4a94-bedd-6f40813ec2a3</v>
          </cell>
          <cell r="F104">
            <v>5</v>
          </cell>
          <cell r="G104">
            <v>10</v>
          </cell>
          <cell r="J104">
            <v>3</v>
          </cell>
        </row>
        <row r="105">
          <cell r="A105" t="str">
            <v>9bd5de63-466e-4e40-91b3-3bcc6b4a038d</v>
          </cell>
          <cell r="F105">
            <v>5</v>
          </cell>
          <cell r="G105">
            <v>10</v>
          </cell>
          <cell r="J105">
            <v>3</v>
          </cell>
        </row>
        <row r="106">
          <cell r="A106" t="str">
            <v>9e9c3dee-c01b-4acd-8138-bd71f11af410</v>
          </cell>
          <cell r="F106">
            <v>3</v>
          </cell>
          <cell r="G106">
            <v>7</v>
          </cell>
          <cell r="J106">
            <v>2</v>
          </cell>
        </row>
        <row r="107">
          <cell r="A107" t="str">
            <v>9faee408-70a7-4545-9f21-556707db7ba8</v>
          </cell>
          <cell r="F107">
            <v>2</v>
          </cell>
          <cell r="G107">
            <v>3</v>
          </cell>
          <cell r="J107">
            <v>1</v>
          </cell>
        </row>
        <row r="108">
          <cell r="A108" t="str">
            <v>9fea5e94-28b1-4cc5-8891-a5e15fcfc58c</v>
          </cell>
          <cell r="F108">
            <v>2</v>
          </cell>
          <cell r="G108">
            <v>3</v>
          </cell>
          <cell r="J108">
            <v>1</v>
          </cell>
        </row>
        <row r="109">
          <cell r="A109" t="str">
            <v>a41a1a66-aa0b-4d9c-bb71-32775f079515</v>
          </cell>
          <cell r="F109">
            <v>3</v>
          </cell>
          <cell r="G109">
            <v>7</v>
          </cell>
          <cell r="J109">
            <v>2</v>
          </cell>
        </row>
        <row r="110">
          <cell r="A110" t="str">
            <v>a44d3c73-0780-4ca9-a01d-e0c9f5e5e38f</v>
          </cell>
          <cell r="F110">
            <v>5</v>
          </cell>
          <cell r="G110">
            <v>10</v>
          </cell>
          <cell r="J110">
            <v>3</v>
          </cell>
        </row>
        <row r="111">
          <cell r="A111" t="str">
            <v>a486a7aa-bb49-421f-bfed-c444d0b7dbd8</v>
          </cell>
          <cell r="F111">
            <v>2</v>
          </cell>
          <cell r="G111">
            <v>3</v>
          </cell>
          <cell r="J111">
            <v>1</v>
          </cell>
        </row>
        <row r="112">
          <cell r="A112" t="str">
            <v>a88ad8a1-21bc-4622-ad45-c507a2dc7406</v>
          </cell>
          <cell r="F112">
            <v>2</v>
          </cell>
          <cell r="G112">
            <v>3</v>
          </cell>
          <cell r="J112">
            <v>1</v>
          </cell>
        </row>
        <row r="113">
          <cell r="A113" t="str">
            <v>a8c128c7-7247-4ab0-9eaa-7be9d75fe037</v>
          </cell>
          <cell r="F113">
            <v>5</v>
          </cell>
          <cell r="G113">
            <v>10</v>
          </cell>
          <cell r="J113">
            <v>3</v>
          </cell>
        </row>
        <row r="114">
          <cell r="A114" t="str">
            <v>a9814fdb-5a9e-4cc0-9fcc-3c4e656d43ef</v>
          </cell>
          <cell r="F114">
            <v>2</v>
          </cell>
          <cell r="G114">
            <v>3</v>
          </cell>
          <cell r="J114">
            <v>1</v>
          </cell>
        </row>
        <row r="115">
          <cell r="A115" t="str">
            <v>ae7c0f6b-5e43-4f68-b894-9086ae7fbb3d</v>
          </cell>
          <cell r="F115">
            <v>3</v>
          </cell>
          <cell r="G115">
            <v>7</v>
          </cell>
          <cell r="J115">
            <v>2</v>
          </cell>
        </row>
        <row r="116">
          <cell r="A116" t="str">
            <v>af927052-e663-409e-8715-31bcf0bf8242</v>
          </cell>
          <cell r="F116">
            <v>2</v>
          </cell>
          <cell r="G116">
            <v>3</v>
          </cell>
          <cell r="J116">
            <v>1</v>
          </cell>
        </row>
        <row r="117">
          <cell r="A117" t="str">
            <v>b1a340bc-524e-4031-8983-54f3020a7ce5</v>
          </cell>
          <cell r="F117">
            <v>3</v>
          </cell>
          <cell r="G117">
            <v>7</v>
          </cell>
          <cell r="J117">
            <v>2</v>
          </cell>
        </row>
        <row r="118">
          <cell r="A118" t="str">
            <v>b42556ec-b45f-4aa1-a013-f892bc51f8d0</v>
          </cell>
          <cell r="F118">
            <v>2</v>
          </cell>
          <cell r="G118">
            <v>3</v>
          </cell>
          <cell r="J118">
            <v>1</v>
          </cell>
        </row>
        <row r="119">
          <cell r="A119" t="str">
            <v>b439263d-9a70-4e88-9b97-18a4c6695791</v>
          </cell>
          <cell r="F119">
            <v>2</v>
          </cell>
          <cell r="G119">
            <v>3</v>
          </cell>
          <cell r="J119">
            <v>1</v>
          </cell>
        </row>
        <row r="120">
          <cell r="A120" t="str">
            <v>b61ffb17-4e31-43ee-aa80-668a1901865a</v>
          </cell>
          <cell r="F120">
            <v>5</v>
          </cell>
          <cell r="G120">
            <v>10</v>
          </cell>
          <cell r="J120">
            <v>3</v>
          </cell>
        </row>
        <row r="121">
          <cell r="A121" t="str">
            <v>113cd7fa-2da3-49fb-84d4-a131aa89f690</v>
          </cell>
          <cell r="F121">
            <v>2</v>
          </cell>
          <cell r="G121">
            <v>3</v>
          </cell>
          <cell r="J121">
            <v>1</v>
          </cell>
        </row>
        <row r="122">
          <cell r="A122" t="str">
            <v>b6c4987f-4733-43c3-9f8f-0e07f42a6c75</v>
          </cell>
          <cell r="F122">
            <v>3</v>
          </cell>
          <cell r="G122">
            <v>7</v>
          </cell>
          <cell r="J122">
            <v>2</v>
          </cell>
        </row>
        <row r="123">
          <cell r="A123" t="str">
            <v>b74e8e3a-0fd4-45e5-872c-c3f9e496e015</v>
          </cell>
          <cell r="F123">
            <v>3</v>
          </cell>
          <cell r="G123">
            <v>7</v>
          </cell>
          <cell r="J123">
            <v>2</v>
          </cell>
        </row>
        <row r="124">
          <cell r="A124" t="str">
            <v>bb13f14e-1435-4834-9f44-cabff8af6254</v>
          </cell>
          <cell r="F124">
            <v>5</v>
          </cell>
          <cell r="G124">
            <v>10</v>
          </cell>
          <cell r="J124">
            <v>3</v>
          </cell>
        </row>
        <row r="125">
          <cell r="A125" t="str">
            <v>bb8761a3-fef4-4a8d-b17b-409526441dba</v>
          </cell>
          <cell r="F125">
            <v>2</v>
          </cell>
          <cell r="G125">
            <v>3</v>
          </cell>
          <cell r="J125">
            <v>1</v>
          </cell>
        </row>
        <row r="126">
          <cell r="A126" t="str">
            <v>bc051646-3812-4662-bb5e-266691395ba5</v>
          </cell>
          <cell r="F126">
            <v>5</v>
          </cell>
          <cell r="G126">
            <v>10</v>
          </cell>
          <cell r="J126">
            <v>3</v>
          </cell>
        </row>
        <row r="127">
          <cell r="A127" t="str">
            <v>bc7550b2-cda6-48f9-a637-f5acbab71e06</v>
          </cell>
          <cell r="F127">
            <v>3</v>
          </cell>
          <cell r="G127">
            <v>7</v>
          </cell>
          <cell r="J127">
            <v>2</v>
          </cell>
        </row>
        <row r="128">
          <cell r="A128" t="str">
            <v>bcb990a4-2d1b-407f-b3a2-7f7441788e5c</v>
          </cell>
          <cell r="F128">
            <v>3</v>
          </cell>
          <cell r="G128">
            <v>7</v>
          </cell>
          <cell r="J128">
            <v>2</v>
          </cell>
        </row>
        <row r="129">
          <cell r="A129" t="str">
            <v>be7f21bc-ae54-43eb-891a-f5eee1a9ca82</v>
          </cell>
          <cell r="F129">
            <v>5</v>
          </cell>
          <cell r="G129">
            <v>10</v>
          </cell>
          <cell r="J129">
            <v>3</v>
          </cell>
        </row>
        <row r="130">
          <cell r="A130" t="str">
            <v>c3c2883a-d5d9-489b-b7b5-bca1a55ec3ac</v>
          </cell>
          <cell r="F130">
            <v>3</v>
          </cell>
          <cell r="G130">
            <v>7</v>
          </cell>
          <cell r="J130">
            <v>2</v>
          </cell>
        </row>
        <row r="131">
          <cell r="A131" t="str">
            <v>c685f229-20c6-47c5-9097-5615d6d46973</v>
          </cell>
          <cell r="F131">
            <v>5</v>
          </cell>
          <cell r="G131">
            <v>10</v>
          </cell>
          <cell r="J131">
            <v>3</v>
          </cell>
        </row>
        <row r="132">
          <cell r="A132" t="str">
            <v>d1b038ab-4527-4202-927d-e41c8b2f57f9</v>
          </cell>
          <cell r="F132">
            <v>3</v>
          </cell>
          <cell r="G132">
            <v>7</v>
          </cell>
          <cell r="J132">
            <v>2</v>
          </cell>
        </row>
        <row r="133">
          <cell r="A133" t="str">
            <v>d44f2de6-e6a4-4672-b095-263d0f80e2c6</v>
          </cell>
          <cell r="F133">
            <v>2</v>
          </cell>
          <cell r="G133">
            <v>3</v>
          </cell>
          <cell r="J133">
            <v>1</v>
          </cell>
        </row>
        <row r="134">
          <cell r="A134" t="str">
            <v>d52822bc-cce8-4cac-8029-aacfc397fb2f</v>
          </cell>
          <cell r="F134">
            <v>2</v>
          </cell>
          <cell r="G134">
            <v>3</v>
          </cell>
          <cell r="J134">
            <v>1</v>
          </cell>
        </row>
        <row r="135">
          <cell r="A135" t="str">
            <v>d9a4ee6d-4d0a-460a-b0e6-e47e9a46b056</v>
          </cell>
          <cell r="F135">
            <v>2</v>
          </cell>
          <cell r="G135">
            <v>3</v>
          </cell>
          <cell r="J135">
            <v>1</v>
          </cell>
        </row>
        <row r="136">
          <cell r="A136" t="str">
            <v>daf75909-0a53-4801-8371-8fdf42b62493</v>
          </cell>
          <cell r="F136">
            <v>5</v>
          </cell>
          <cell r="G136">
            <v>10</v>
          </cell>
          <cell r="J136">
            <v>3</v>
          </cell>
        </row>
        <row r="137">
          <cell r="A137" t="str">
            <v>dc5e7ca9-438f-41e5-a566-037503084f22</v>
          </cell>
          <cell r="F137">
            <v>2</v>
          </cell>
          <cell r="G137">
            <v>3</v>
          </cell>
          <cell r="J137">
            <v>1</v>
          </cell>
        </row>
        <row r="138">
          <cell r="A138" t="str">
            <v>e4f3b9f6-d8ce-430f-9912-fc5f90bd584c</v>
          </cell>
          <cell r="F138">
            <v>2</v>
          </cell>
          <cell r="G138">
            <v>3</v>
          </cell>
          <cell r="J138">
            <v>1</v>
          </cell>
        </row>
        <row r="139">
          <cell r="A139" t="str">
            <v>e713624e-b1e9-4311-8d48-c2ff8fafdbb7</v>
          </cell>
          <cell r="F139">
            <v>2</v>
          </cell>
          <cell r="G139">
            <v>3</v>
          </cell>
          <cell r="J139">
            <v>1</v>
          </cell>
        </row>
        <row r="140">
          <cell r="A140" t="str">
            <v>e7ad220e-2122-47a4-b2a2-fd3bf9ad91f7</v>
          </cell>
          <cell r="F140">
            <v>5</v>
          </cell>
          <cell r="G140">
            <v>10</v>
          </cell>
          <cell r="J140">
            <v>3</v>
          </cell>
        </row>
        <row r="141">
          <cell r="A141" t="str">
            <v>e80bca83-c6a1-4d1f-a068-b0f0d2ac74da</v>
          </cell>
          <cell r="F141">
            <v>2</v>
          </cell>
          <cell r="G141">
            <v>3</v>
          </cell>
          <cell r="J141">
            <v>1</v>
          </cell>
        </row>
        <row r="142">
          <cell r="A142" t="str">
            <v>e81b9f1a-e8bb-4b70-9415-db166e5882ec</v>
          </cell>
          <cell r="F142">
            <v>2</v>
          </cell>
          <cell r="G142">
            <v>3</v>
          </cell>
          <cell r="J142">
            <v>1</v>
          </cell>
        </row>
        <row r="143">
          <cell r="A143" t="str">
            <v>f01a287a-c1e6-4212-9fb4-c323a618bf16</v>
          </cell>
          <cell r="F143">
            <v>3</v>
          </cell>
          <cell r="G143">
            <v>7</v>
          </cell>
          <cell r="J143">
            <v>2</v>
          </cell>
        </row>
        <row r="144">
          <cell r="A144" t="str">
            <v>f03b4474-e3a1-4a04-87b4-f4ed580c5fbf</v>
          </cell>
          <cell r="F144">
            <v>3</v>
          </cell>
          <cell r="G144">
            <v>7</v>
          </cell>
          <cell r="J144">
            <v>2</v>
          </cell>
        </row>
        <row r="145">
          <cell r="A145" t="str">
            <v>f0cc0d46-51b5-4f6d-b2e7-650ff0b7ac2e</v>
          </cell>
          <cell r="F145">
            <v>5</v>
          </cell>
          <cell r="G145">
            <v>10</v>
          </cell>
          <cell r="J145">
            <v>3</v>
          </cell>
        </row>
        <row r="146">
          <cell r="A146" t="str">
            <v>f369af74-eff9-4c0b-83fa-a411d5f235f5</v>
          </cell>
          <cell r="F146">
            <v>3</v>
          </cell>
          <cell r="G146">
            <v>7</v>
          </cell>
          <cell r="J146">
            <v>2</v>
          </cell>
        </row>
        <row r="147">
          <cell r="A147" t="str">
            <v>f459e39f-e3d2-4dfe-876f-d418021e5951</v>
          </cell>
          <cell r="F147">
            <v>2</v>
          </cell>
          <cell r="G147">
            <v>3</v>
          </cell>
          <cell r="J147">
            <v>1</v>
          </cell>
        </row>
        <row r="148">
          <cell r="A148" t="str">
            <v>f609de6c-8d58-4448-8d95-a5096ef68009</v>
          </cell>
          <cell r="F148">
            <v>5</v>
          </cell>
          <cell r="G148">
            <v>10</v>
          </cell>
          <cell r="J148">
            <v>3</v>
          </cell>
        </row>
        <row r="149">
          <cell r="A149" t="str">
            <v>f6d7bc5b-766d-4677-96cb-09aceee3d921</v>
          </cell>
          <cell r="F149">
            <v>2</v>
          </cell>
          <cell r="G149">
            <v>3</v>
          </cell>
          <cell r="J149">
            <v>1</v>
          </cell>
        </row>
        <row r="150">
          <cell r="A150" t="str">
            <v>f74c5c66-492b-4029-9168-59ef16a4f530</v>
          </cell>
          <cell r="F150">
            <v>3</v>
          </cell>
          <cell r="G150">
            <v>7</v>
          </cell>
          <cell r="J150">
            <v>2</v>
          </cell>
        </row>
        <row r="151">
          <cell r="A151" t="str">
            <v>f7c7aac5-00cd-4916-a3b3-014ec5024070</v>
          </cell>
          <cell r="F151">
            <v>5</v>
          </cell>
          <cell r="G151">
            <v>10</v>
          </cell>
          <cell r="J151">
            <v>3</v>
          </cell>
        </row>
        <row r="152">
          <cell r="A152" t="str">
            <v>f7df6d6a-dbb1-47f5-bdfd-0f9db0ab05c8</v>
          </cell>
          <cell r="F152">
            <v>3</v>
          </cell>
          <cell r="G152">
            <v>7</v>
          </cell>
          <cell r="J152">
            <v>2</v>
          </cell>
        </row>
        <row r="153">
          <cell r="A153" t="str">
            <v>f9006061-fd6a-4a5f-9148-3ed6fc9c23d1</v>
          </cell>
          <cell r="F153">
            <v>5</v>
          </cell>
          <cell r="G153">
            <v>10</v>
          </cell>
          <cell r="J153">
            <v>3</v>
          </cell>
        </row>
        <row r="154">
          <cell r="A154" t="str">
            <v>f9050c1c-c4e0-4bf5-aacf-cb52bb2ddd67</v>
          </cell>
          <cell r="F154">
            <v>3</v>
          </cell>
          <cell r="G154">
            <v>7</v>
          </cell>
          <cell r="J154">
            <v>2</v>
          </cell>
        </row>
        <row r="155">
          <cell r="A155" t="str">
            <v>fa640d8d-a381-4d86-a6ab-8757bc805b6e</v>
          </cell>
          <cell r="F155">
            <v>5</v>
          </cell>
          <cell r="G155">
            <v>10</v>
          </cell>
          <cell r="J155">
            <v>3</v>
          </cell>
        </row>
        <row r="156">
          <cell r="A156" t="str">
            <v>fc99b647-fda9-4158-961f-abcb962eb116</v>
          </cell>
          <cell r="F156">
            <v>2</v>
          </cell>
          <cell r="G156">
            <v>3</v>
          </cell>
          <cell r="J156">
            <v>1</v>
          </cell>
        </row>
        <row r="157">
          <cell r="A157" t="str">
            <v>ffed07ce-7f6b-406e-be82-86a7a6729c71</v>
          </cell>
          <cell r="F157">
            <v>5</v>
          </cell>
          <cell r="G157">
            <v>10</v>
          </cell>
          <cell r="J157">
            <v>3</v>
          </cell>
        </row>
        <row r="158">
          <cell r="A158" t="str">
            <v>064995ae-bfea-4c8f-b31d-2b7fa5749d2d</v>
          </cell>
          <cell r="F158">
            <v>5</v>
          </cell>
          <cell r="G158">
            <v>10</v>
          </cell>
          <cell r="J158">
            <v>3</v>
          </cell>
        </row>
        <row r="159">
          <cell r="A159" t="str">
            <v>06967f73-bcca-44c7-994d-af36009b7e2e</v>
          </cell>
          <cell r="F159">
            <v>2</v>
          </cell>
          <cell r="G159">
            <v>3</v>
          </cell>
          <cell r="J159">
            <v>1</v>
          </cell>
        </row>
        <row r="160">
          <cell r="A160" t="str">
            <v>0b9701bb-4010-45d3-a1f4-75184e551c08</v>
          </cell>
          <cell r="F160">
            <v>5</v>
          </cell>
          <cell r="G160">
            <v>10</v>
          </cell>
          <cell r="J160">
            <v>3</v>
          </cell>
        </row>
        <row r="161">
          <cell r="A161" t="str">
            <v>0f8b84f1-0222-4e2b-886b-32002ef903ef</v>
          </cell>
          <cell r="F161">
            <v>3</v>
          </cell>
          <cell r="G161">
            <v>7</v>
          </cell>
          <cell r="J161">
            <v>2</v>
          </cell>
        </row>
        <row r="162">
          <cell r="A162" t="str">
            <v>1061862c-38ab-44d6-bf69-2b7535d69fab</v>
          </cell>
          <cell r="F162">
            <v>5</v>
          </cell>
          <cell r="G162">
            <v>10</v>
          </cell>
          <cell r="J162">
            <v>3</v>
          </cell>
        </row>
        <row r="163">
          <cell r="A163" t="str">
            <v>16003f48-1bca-4c96-a0ad-5939d368e299</v>
          </cell>
          <cell r="F163">
            <v>5</v>
          </cell>
          <cell r="G163">
            <v>10</v>
          </cell>
          <cell r="J163">
            <v>3</v>
          </cell>
        </row>
        <row r="164">
          <cell r="A164" t="str">
            <v>1b53fd54-2dd1-4a3c-bb2e-a6d5e9fd8426</v>
          </cell>
          <cell r="F164">
            <v>5</v>
          </cell>
          <cell r="G164">
            <v>10</v>
          </cell>
          <cell r="J164">
            <v>3</v>
          </cell>
        </row>
        <row r="165">
          <cell r="A165" t="str">
            <v>1cec76c2-cd41-48c1-b0f9-108d8c027a5b</v>
          </cell>
          <cell r="F165">
            <v>3</v>
          </cell>
          <cell r="G165">
            <v>7</v>
          </cell>
          <cell r="J165">
            <v>2</v>
          </cell>
        </row>
        <row r="166">
          <cell r="A166" t="str">
            <v>1d8c4abf-5926-4ccf-9ed5-47187041a1ac</v>
          </cell>
          <cell r="F166">
            <v>3</v>
          </cell>
          <cell r="G166">
            <v>7</v>
          </cell>
          <cell r="J166">
            <v>2</v>
          </cell>
        </row>
        <row r="167">
          <cell r="A167" t="str">
            <v>3baa49e2-c6b0-4392-b54e-09fee798a87e</v>
          </cell>
          <cell r="F167">
            <v>3</v>
          </cell>
          <cell r="G167">
            <v>7</v>
          </cell>
          <cell r="J167">
            <v>2</v>
          </cell>
        </row>
        <row r="168">
          <cell r="A168" t="str">
            <v>1e0b4c7d-c200-4f65-b0aa-3b4edb1f1d0c</v>
          </cell>
          <cell r="F168">
            <v>5</v>
          </cell>
          <cell r="G168">
            <v>10</v>
          </cell>
          <cell r="J168">
            <v>3</v>
          </cell>
        </row>
        <row r="169">
          <cell r="A169" t="str">
            <v>210b271a-fff1-4c1d-ba1d-9ed7f1ccddd2</v>
          </cell>
          <cell r="F169">
            <v>5</v>
          </cell>
          <cell r="G169">
            <v>10</v>
          </cell>
          <cell r="J169">
            <v>3</v>
          </cell>
        </row>
        <row r="170">
          <cell r="A170" t="str">
            <v>21dc1546-bc16-4a51-9973-e723ecd2da82</v>
          </cell>
          <cell r="F170">
            <v>5</v>
          </cell>
          <cell r="G170">
            <v>10</v>
          </cell>
          <cell r="J170">
            <v>3</v>
          </cell>
        </row>
        <row r="171">
          <cell r="A171" t="str">
            <v>2215bd1c-d212-43dc-9d7a-f38893a425d8</v>
          </cell>
          <cell r="F171">
            <v>5</v>
          </cell>
          <cell r="G171">
            <v>10</v>
          </cell>
          <cell r="J171">
            <v>3</v>
          </cell>
        </row>
        <row r="172">
          <cell r="A172" t="str">
            <v>22aa255f-a611-44cd-8fbf-07aa295885eb</v>
          </cell>
          <cell r="F172">
            <v>3</v>
          </cell>
          <cell r="G172">
            <v>7</v>
          </cell>
          <cell r="J172">
            <v>2</v>
          </cell>
        </row>
        <row r="173">
          <cell r="A173" t="str">
            <v>23e6a612-bac8-4780-baa8-9409f4dc93da</v>
          </cell>
          <cell r="F173">
            <v>5</v>
          </cell>
          <cell r="G173">
            <v>10</v>
          </cell>
          <cell r="J173">
            <v>3</v>
          </cell>
        </row>
        <row r="174">
          <cell r="A174" t="str">
            <v>2504451b-22bc-4ebb-a65b-09e3519a4c98</v>
          </cell>
          <cell r="F174">
            <v>5</v>
          </cell>
          <cell r="G174">
            <v>10</v>
          </cell>
          <cell r="J174">
            <v>3</v>
          </cell>
        </row>
        <row r="175">
          <cell r="A175" t="str">
            <v>e5d7b6e1-2902-4789-a6e9-6aad95009cb4</v>
          </cell>
          <cell r="F175">
            <v>3</v>
          </cell>
          <cell r="G175">
            <v>7</v>
          </cell>
          <cell r="J175">
            <v>2</v>
          </cell>
        </row>
        <row r="176">
          <cell r="A176" t="str">
            <v>2b15526a-c0e4-4751-ab19-9c799b44a443</v>
          </cell>
          <cell r="F176">
            <v>5</v>
          </cell>
          <cell r="G176">
            <v>10</v>
          </cell>
          <cell r="J176">
            <v>3</v>
          </cell>
        </row>
        <row r="177">
          <cell r="A177" t="str">
            <v>2db612dd-3aef-4f92-bdc4-acb45a5b4868</v>
          </cell>
          <cell r="F177">
            <v>5</v>
          </cell>
          <cell r="G177">
            <v>10</v>
          </cell>
          <cell r="J177">
            <v>3</v>
          </cell>
        </row>
        <row r="178">
          <cell r="A178" t="str">
            <v>2e5d0f69-90f5-4a1b-b523-0087b01e45cf</v>
          </cell>
          <cell r="F178">
            <v>5</v>
          </cell>
          <cell r="G178">
            <v>10</v>
          </cell>
          <cell r="J178">
            <v>3</v>
          </cell>
        </row>
        <row r="179">
          <cell r="A179" t="str">
            <v>2f43905c-0115-4989-bbe5-7ba5a2a9d231</v>
          </cell>
          <cell r="F179">
            <v>3</v>
          </cell>
          <cell r="G179">
            <v>7</v>
          </cell>
          <cell r="J179">
            <v>2</v>
          </cell>
        </row>
        <row r="180">
          <cell r="A180" t="str">
            <v>3ba1ce2a-dcb0-45a0-8bbb-8df310d04ec3</v>
          </cell>
          <cell r="F180">
            <v>3</v>
          </cell>
          <cell r="G180">
            <v>7</v>
          </cell>
          <cell r="J180">
            <v>2</v>
          </cell>
        </row>
        <row r="181">
          <cell r="A181" t="str">
            <v>3f9936f3-d608-4652-866d-2b950bc2e78f</v>
          </cell>
          <cell r="F181">
            <v>5</v>
          </cell>
          <cell r="G181">
            <v>10</v>
          </cell>
          <cell r="J181">
            <v>3</v>
          </cell>
        </row>
        <row r="182">
          <cell r="A182" t="str">
            <v>40389c6b-305a-463e-a6c8-b22865b07639</v>
          </cell>
          <cell r="F182">
            <v>5</v>
          </cell>
          <cell r="G182">
            <v>10</v>
          </cell>
          <cell r="J182">
            <v>3</v>
          </cell>
        </row>
        <row r="183">
          <cell r="A183" t="str">
            <v>42138d8f-bf99-4318-8b58-d280d2abc9eb</v>
          </cell>
          <cell r="F183">
            <v>3</v>
          </cell>
          <cell r="G183">
            <v>7</v>
          </cell>
          <cell r="J183">
            <v>2</v>
          </cell>
        </row>
        <row r="184">
          <cell r="A184" t="str">
            <v>450beca7-4f68-4dcb-bb72-e4e8db12cf66</v>
          </cell>
          <cell r="F184">
            <v>5</v>
          </cell>
          <cell r="G184">
            <v>10</v>
          </cell>
          <cell r="J184">
            <v>3</v>
          </cell>
        </row>
        <row r="185">
          <cell r="A185" t="str">
            <v>45de3c81-7ceb-4577-8eca-7d7526719b53</v>
          </cell>
          <cell r="F185">
            <v>3</v>
          </cell>
          <cell r="G185">
            <v>7</v>
          </cell>
          <cell r="J185">
            <v>2</v>
          </cell>
        </row>
        <row r="186">
          <cell r="A186" t="str">
            <v>47f8dbed-31c8-48ef-8b8f-8119473b8f86</v>
          </cell>
          <cell r="F186">
            <v>2</v>
          </cell>
          <cell r="G186">
            <v>3</v>
          </cell>
          <cell r="J186">
            <v>1</v>
          </cell>
        </row>
        <row r="187">
          <cell r="A187" t="str">
            <v>13111470-93aa-4b02-ae81-a3ed207affd1</v>
          </cell>
          <cell r="F187">
            <v>2</v>
          </cell>
          <cell r="G187">
            <v>3</v>
          </cell>
          <cell r="J187">
            <v>1</v>
          </cell>
        </row>
        <row r="188">
          <cell r="A188" t="str">
            <v>4e9aeecd-3a15-4411-92c6-d1a01e1ad646</v>
          </cell>
          <cell r="F188">
            <v>5</v>
          </cell>
          <cell r="G188">
            <v>10</v>
          </cell>
          <cell r="J188">
            <v>3</v>
          </cell>
        </row>
        <row r="189">
          <cell r="A189" t="str">
            <v>4f573d2d-d528-46a3-9490-3444c25c6bc4</v>
          </cell>
          <cell r="F189">
            <v>2</v>
          </cell>
          <cell r="G189">
            <v>3</v>
          </cell>
          <cell r="J189">
            <v>1</v>
          </cell>
        </row>
        <row r="190">
          <cell r="A190" t="str">
            <v>51a8e2b2-52de-431d-84c2-daa6bf7e2b78</v>
          </cell>
          <cell r="F190">
            <v>3</v>
          </cell>
          <cell r="G190">
            <v>7</v>
          </cell>
          <cell r="J190">
            <v>2</v>
          </cell>
        </row>
        <row r="191">
          <cell r="A191" t="str">
            <v>52d3471e-1e14-430a-b515-572ce276609a</v>
          </cell>
          <cell r="F191">
            <v>5</v>
          </cell>
          <cell r="G191">
            <v>10</v>
          </cell>
          <cell r="J191">
            <v>3</v>
          </cell>
        </row>
        <row r="192">
          <cell r="A192" t="str">
            <v>567ce16e-e5e5-4d2c-8952-2d4f42d6d237</v>
          </cell>
          <cell r="F192">
            <v>5</v>
          </cell>
          <cell r="G192">
            <v>10</v>
          </cell>
          <cell r="J192">
            <v>3</v>
          </cell>
        </row>
        <row r="193">
          <cell r="A193" t="str">
            <v>5958494e-0cfb-45d3-8437-d4cbf3809c43</v>
          </cell>
          <cell r="F193">
            <v>2</v>
          </cell>
          <cell r="G193">
            <v>3</v>
          </cell>
          <cell r="J193">
            <v>1</v>
          </cell>
        </row>
        <row r="194">
          <cell r="A194" t="str">
            <v>59b3a795-e3ff-4658-b026-8e0126c694de</v>
          </cell>
          <cell r="F194">
            <v>5</v>
          </cell>
          <cell r="G194">
            <v>10</v>
          </cell>
          <cell r="J194">
            <v>3</v>
          </cell>
        </row>
        <row r="195">
          <cell r="A195" t="str">
            <v>59c3c9f8-211a-488d-871f-46b6f1a33dc2</v>
          </cell>
          <cell r="F195">
            <v>5</v>
          </cell>
          <cell r="G195">
            <v>10</v>
          </cell>
          <cell r="J195">
            <v>3</v>
          </cell>
        </row>
        <row r="196">
          <cell r="A196" t="str">
            <v>5d1d8a45-659f-4feb-ac7b-e3181d2de03d</v>
          </cell>
          <cell r="F196">
            <v>3</v>
          </cell>
          <cell r="G196">
            <v>7</v>
          </cell>
          <cell r="J196">
            <v>2</v>
          </cell>
        </row>
        <row r="197">
          <cell r="A197" t="str">
            <v>5dd4767b-9b27-4bd6-9c54-1be3f17a3a80</v>
          </cell>
          <cell r="F197">
            <v>5</v>
          </cell>
          <cell r="G197">
            <v>10</v>
          </cell>
          <cell r="J197">
            <v>3</v>
          </cell>
        </row>
        <row r="198">
          <cell r="A198" t="str">
            <v>5ee780ad-0e7c-4b7c-9c92-a162dc291bf0</v>
          </cell>
          <cell r="F198">
            <v>2</v>
          </cell>
          <cell r="G198">
            <v>3</v>
          </cell>
          <cell r="J198">
            <v>1</v>
          </cell>
        </row>
        <row r="199">
          <cell r="A199" t="str">
            <v>67c7680b-6e02-4568-a329-e375414753b8</v>
          </cell>
          <cell r="F199">
            <v>2</v>
          </cell>
          <cell r="G199">
            <v>3</v>
          </cell>
          <cell r="J199">
            <v>1</v>
          </cell>
        </row>
        <row r="200">
          <cell r="A200" t="str">
            <v>6929d705-d6f9-406c-8d34-9a284b66cc43</v>
          </cell>
          <cell r="F200">
            <v>5</v>
          </cell>
          <cell r="G200">
            <v>10</v>
          </cell>
          <cell r="J200">
            <v>3</v>
          </cell>
        </row>
        <row r="201">
          <cell r="A201" t="str">
            <v>6b9eccbb-0309-49f6-b6f7-63803fa4ed9f</v>
          </cell>
          <cell r="F201">
            <v>5</v>
          </cell>
          <cell r="G201">
            <v>10</v>
          </cell>
          <cell r="J201">
            <v>3</v>
          </cell>
        </row>
        <row r="202">
          <cell r="A202" t="str">
            <v>6c15d078-a9a2-4d0e-9828-9fc67c124a21</v>
          </cell>
          <cell r="F202">
            <v>3</v>
          </cell>
          <cell r="G202">
            <v>7</v>
          </cell>
          <cell r="J202">
            <v>2</v>
          </cell>
        </row>
        <row r="203">
          <cell r="A203" t="str">
            <v>6de59ea5-b5ef-43fb-bbd5-18e124b94407</v>
          </cell>
          <cell r="F203">
            <v>3</v>
          </cell>
          <cell r="G203">
            <v>7</v>
          </cell>
          <cell r="J203">
            <v>2</v>
          </cell>
        </row>
        <row r="204">
          <cell r="A204" t="str">
            <v>6e9d561b-2535-49c0-af9d-8db77609329e</v>
          </cell>
          <cell r="F204">
            <v>5</v>
          </cell>
          <cell r="G204">
            <v>10</v>
          </cell>
          <cell r="J204">
            <v>3</v>
          </cell>
        </row>
        <row r="205">
          <cell r="A205" t="str">
            <v>73f91bb2-9a7e-4c43-a184-1a55bd0f1bfc</v>
          </cell>
          <cell r="F205">
            <v>5</v>
          </cell>
          <cell r="G205">
            <v>10</v>
          </cell>
          <cell r="J205">
            <v>3</v>
          </cell>
        </row>
        <row r="206">
          <cell r="A206" t="str">
            <v>7449fb08-2594-48e7-8ec7-a288352e296c</v>
          </cell>
          <cell r="F206">
            <v>5</v>
          </cell>
          <cell r="G206">
            <v>10</v>
          </cell>
          <cell r="J206">
            <v>3</v>
          </cell>
        </row>
        <row r="207">
          <cell r="A207" t="str">
            <v>755ca381-5d16-4e7f-be83-73883034cd78</v>
          </cell>
          <cell r="F207">
            <v>5</v>
          </cell>
          <cell r="G207">
            <v>10</v>
          </cell>
          <cell r="J207">
            <v>3</v>
          </cell>
        </row>
        <row r="208">
          <cell r="A208" t="str">
            <v>7667ad71-f10e-4ce1-8cdb-0b485158cd03</v>
          </cell>
          <cell r="F208">
            <v>5</v>
          </cell>
          <cell r="G208">
            <v>10</v>
          </cell>
          <cell r="J208">
            <v>3</v>
          </cell>
        </row>
        <row r="209">
          <cell r="A209" t="str">
            <v>797975fb-5e94-45ef-b6c4-4e3ec1cf588a</v>
          </cell>
          <cell r="F209">
            <v>5</v>
          </cell>
          <cell r="G209">
            <v>10</v>
          </cell>
          <cell r="J209">
            <v>3</v>
          </cell>
        </row>
        <row r="210">
          <cell r="A210" t="str">
            <v>7a82737c-65ed-4a44-a451-53e85348543f</v>
          </cell>
          <cell r="F210">
            <v>5</v>
          </cell>
          <cell r="G210">
            <v>10</v>
          </cell>
          <cell r="J210">
            <v>3</v>
          </cell>
        </row>
        <row r="211">
          <cell r="A211" t="str">
            <v>7b6a2e0b-ed6d-48a5-8b34-c78ee429c4fb</v>
          </cell>
          <cell r="F211">
            <v>5</v>
          </cell>
          <cell r="G211">
            <v>10</v>
          </cell>
          <cell r="J211">
            <v>3</v>
          </cell>
        </row>
        <row r="212">
          <cell r="A212" t="str">
            <v>7bc56fbc-d4e3-4e33-9a20-d46a50c95115</v>
          </cell>
          <cell r="F212">
            <v>2</v>
          </cell>
          <cell r="G212">
            <v>3</v>
          </cell>
          <cell r="J212">
            <v>1</v>
          </cell>
        </row>
        <row r="213">
          <cell r="A213" t="str">
            <v>7c6e36e2-f4f2-422a-ad13-0b40182eb09a</v>
          </cell>
          <cell r="F213">
            <v>5</v>
          </cell>
          <cell r="G213">
            <v>10</v>
          </cell>
          <cell r="J213">
            <v>3</v>
          </cell>
        </row>
        <row r="214">
          <cell r="A214" t="str">
            <v>7ca12702-69a7-44d3-b13e-a2de33cd45cb</v>
          </cell>
          <cell r="F214">
            <v>5</v>
          </cell>
          <cell r="G214">
            <v>10</v>
          </cell>
          <cell r="J214">
            <v>3</v>
          </cell>
        </row>
        <row r="215">
          <cell r="A215" t="str">
            <v>7ddae252-ed97-461f-a30f-b0ee9883d36b</v>
          </cell>
          <cell r="F215">
            <v>2</v>
          </cell>
          <cell r="G215">
            <v>3</v>
          </cell>
          <cell r="J215">
            <v>1</v>
          </cell>
        </row>
        <row r="216">
          <cell r="A216" t="str">
            <v>8194c28e-643b-400d-95f3-9daf25c7e193</v>
          </cell>
          <cell r="F216">
            <v>3</v>
          </cell>
          <cell r="G216">
            <v>7</v>
          </cell>
          <cell r="J216">
            <v>2</v>
          </cell>
        </row>
        <row r="217">
          <cell r="A217" t="str">
            <v>436811af-91f8-425f-aa80-aff5d2a194a3</v>
          </cell>
          <cell r="F217">
            <v>5</v>
          </cell>
          <cell r="G217">
            <v>10</v>
          </cell>
          <cell r="J217">
            <v>3</v>
          </cell>
        </row>
        <row r="218">
          <cell r="A218" t="str">
            <v>8461896b-bb71-4f2c-92bf-74cd5714500e</v>
          </cell>
          <cell r="F218">
            <v>2</v>
          </cell>
          <cell r="G218">
            <v>3</v>
          </cell>
          <cell r="J218">
            <v>1</v>
          </cell>
        </row>
        <row r="219">
          <cell r="A219" t="str">
            <v>853ab7af-9833-4dcb-97ca-9d4661a3e5bf</v>
          </cell>
          <cell r="F219">
            <v>5</v>
          </cell>
          <cell r="G219">
            <v>10</v>
          </cell>
          <cell r="J219">
            <v>3</v>
          </cell>
        </row>
        <row r="220">
          <cell r="A220" t="str">
            <v>89e86f6b-f915-497e-9868-64e01ff934b1</v>
          </cell>
          <cell r="F220">
            <v>5</v>
          </cell>
          <cell r="G220">
            <v>10</v>
          </cell>
          <cell r="J220">
            <v>3</v>
          </cell>
        </row>
        <row r="221">
          <cell r="A221" t="str">
            <v>8b6ddfa7-bdef-4719-a978-c4770655a7fe</v>
          </cell>
          <cell r="F221">
            <v>3</v>
          </cell>
          <cell r="G221">
            <v>7</v>
          </cell>
          <cell r="J221">
            <v>2</v>
          </cell>
        </row>
        <row r="222">
          <cell r="A222" t="str">
            <v>8cae7930-6a82-40d8-b497-bd519ca041dd</v>
          </cell>
          <cell r="F222">
            <v>5</v>
          </cell>
          <cell r="G222">
            <v>10</v>
          </cell>
          <cell r="J222">
            <v>3</v>
          </cell>
        </row>
        <row r="223">
          <cell r="A223" t="str">
            <v>8cbd061e-e748-456b-a9a3-e7570837d4f1</v>
          </cell>
          <cell r="F223">
            <v>5</v>
          </cell>
          <cell r="G223">
            <v>10</v>
          </cell>
          <cell r="J223">
            <v>3</v>
          </cell>
        </row>
        <row r="224">
          <cell r="A224" t="str">
            <v>8d7187ae-1303-4954-9d48-cb80f90d3512</v>
          </cell>
          <cell r="F224">
            <v>3</v>
          </cell>
          <cell r="G224">
            <v>7</v>
          </cell>
          <cell r="J224">
            <v>2</v>
          </cell>
        </row>
        <row r="225">
          <cell r="A225" t="str">
            <v>914de4ad-ba4b-41a2-91c1-9b8309ed8fce</v>
          </cell>
          <cell r="F225">
            <v>5</v>
          </cell>
          <cell r="G225">
            <v>10</v>
          </cell>
          <cell r="J225">
            <v>3</v>
          </cell>
        </row>
        <row r="226">
          <cell r="A226" t="str">
            <v>9283d613-de08-4f44-b384-938f5152edd0</v>
          </cell>
          <cell r="F226">
            <v>2</v>
          </cell>
          <cell r="G226">
            <v>3</v>
          </cell>
          <cell r="J226">
            <v>1</v>
          </cell>
        </row>
        <row r="227">
          <cell r="A227" t="str">
            <v>970f4457-3619-4773-9441-ae08e29b8fc7</v>
          </cell>
          <cell r="F227">
            <v>3</v>
          </cell>
          <cell r="G227">
            <v>7</v>
          </cell>
          <cell r="J227">
            <v>2</v>
          </cell>
        </row>
        <row r="228">
          <cell r="A228" t="str">
            <v>982c29f9-ca62-4d74-820c-d3f4da6a04db</v>
          </cell>
          <cell r="F228">
            <v>3</v>
          </cell>
          <cell r="G228">
            <v>7</v>
          </cell>
          <cell r="J228">
            <v>2</v>
          </cell>
        </row>
        <row r="229">
          <cell r="A229" t="str">
            <v>99ad7804-e3d2-4f9d-9017-1977609669b6</v>
          </cell>
          <cell r="F229">
            <v>5</v>
          </cell>
          <cell r="G229">
            <v>10</v>
          </cell>
          <cell r="J229">
            <v>3</v>
          </cell>
        </row>
        <row r="230">
          <cell r="A230" t="str">
            <v>99ba69a6-03c1-4694-81df-d309488dcec6</v>
          </cell>
          <cell r="F230">
            <v>5</v>
          </cell>
          <cell r="G230">
            <v>10</v>
          </cell>
          <cell r="J230">
            <v>3</v>
          </cell>
        </row>
        <row r="231">
          <cell r="A231" t="str">
            <v>9f49039d-d7b5-4883-9029-5d0dd2ed7c5c</v>
          </cell>
          <cell r="F231">
            <v>5</v>
          </cell>
          <cell r="G231">
            <v>10</v>
          </cell>
          <cell r="J231">
            <v>3</v>
          </cell>
        </row>
        <row r="232">
          <cell r="A232" t="str">
            <v>56a1c2f1-5b0e-468d-9a93-b44a27694337</v>
          </cell>
          <cell r="F232">
            <v>3</v>
          </cell>
          <cell r="G232">
            <v>7</v>
          </cell>
          <cell r="J232">
            <v>2</v>
          </cell>
        </row>
        <row r="233">
          <cell r="A233" t="str">
            <v>a6645447-ecd1-4705-a8f6-5bc228650835</v>
          </cell>
          <cell r="F233">
            <v>5</v>
          </cell>
          <cell r="G233">
            <v>10</v>
          </cell>
          <cell r="J233">
            <v>3</v>
          </cell>
        </row>
        <row r="234">
          <cell r="A234" t="str">
            <v>a8495d3b-720f-4c7a-87ae-ee6e9913b27a</v>
          </cell>
          <cell r="F234">
            <v>3</v>
          </cell>
          <cell r="G234">
            <v>7</v>
          </cell>
          <cell r="J234">
            <v>2</v>
          </cell>
        </row>
        <row r="235">
          <cell r="A235" t="str">
            <v>a8a786e9-45d4-4f44-b36a-557b9eb97cc0</v>
          </cell>
          <cell r="F235">
            <v>3</v>
          </cell>
          <cell r="G235">
            <v>7</v>
          </cell>
          <cell r="J235">
            <v>2</v>
          </cell>
        </row>
        <row r="236">
          <cell r="A236" t="str">
            <v>ab4a239a-0e2c-43bb-94b7-0c54d3971beb</v>
          </cell>
          <cell r="F236">
            <v>5</v>
          </cell>
          <cell r="G236">
            <v>10</v>
          </cell>
          <cell r="J236">
            <v>3</v>
          </cell>
        </row>
        <row r="237">
          <cell r="A237" t="str">
            <v>ace06706-9e66-428b-b632-1e2465e70a82</v>
          </cell>
          <cell r="F237">
            <v>5</v>
          </cell>
          <cell r="G237">
            <v>10</v>
          </cell>
          <cell r="J237">
            <v>3</v>
          </cell>
        </row>
        <row r="238">
          <cell r="A238" t="str">
            <v>ba5013cc-2ee7-4425-9307-aa18553b2f5a</v>
          </cell>
          <cell r="F238">
            <v>2</v>
          </cell>
          <cell r="G238">
            <v>3</v>
          </cell>
          <cell r="J238">
            <v>1</v>
          </cell>
        </row>
        <row r="239">
          <cell r="A239" t="str">
            <v>bac4f304-9ab2-4b0e-968d-66ec135e4d7a</v>
          </cell>
          <cell r="F239">
            <v>5</v>
          </cell>
          <cell r="G239">
            <v>10</v>
          </cell>
          <cell r="J239">
            <v>3</v>
          </cell>
        </row>
        <row r="240">
          <cell r="A240" t="str">
            <v>bc0a0f89-3fcf-49e4-9d0c-13441d7a5e9e</v>
          </cell>
          <cell r="F240">
            <v>5</v>
          </cell>
          <cell r="G240">
            <v>10</v>
          </cell>
          <cell r="J240">
            <v>3</v>
          </cell>
        </row>
        <row r="241">
          <cell r="A241" t="str">
            <v>bca133fe-f569-46dd-a22c-1b64c6079ebf</v>
          </cell>
          <cell r="F241">
            <v>5</v>
          </cell>
          <cell r="G241">
            <v>10</v>
          </cell>
          <cell r="J241">
            <v>3</v>
          </cell>
        </row>
        <row r="242">
          <cell r="A242" t="str">
            <v>be99a9a2-4638-4a84-bb67-c39837e42465</v>
          </cell>
          <cell r="F242">
            <v>3</v>
          </cell>
          <cell r="G242">
            <v>7</v>
          </cell>
          <cell r="J242">
            <v>2</v>
          </cell>
        </row>
        <row r="243">
          <cell r="A243" t="str">
            <v>c02f9798-5fc4-4cd7-a3aa-aa0f01ed4daf</v>
          </cell>
          <cell r="F243">
            <v>5</v>
          </cell>
          <cell r="G243">
            <v>10</v>
          </cell>
          <cell r="J243">
            <v>3</v>
          </cell>
        </row>
        <row r="244">
          <cell r="A244" t="str">
            <v>c1576453-6fbc-47c4-9e6d-73bc6e9dacbe</v>
          </cell>
          <cell r="F244">
            <v>3</v>
          </cell>
          <cell r="G244">
            <v>7</v>
          </cell>
          <cell r="J244">
            <v>2</v>
          </cell>
        </row>
        <row r="245">
          <cell r="A245" t="str">
            <v>c18b2756-3a1d-4c8a-a38c-17b2888f82f5</v>
          </cell>
          <cell r="F245">
            <v>3</v>
          </cell>
          <cell r="G245">
            <v>7</v>
          </cell>
          <cell r="J245">
            <v>2</v>
          </cell>
        </row>
        <row r="246">
          <cell r="A246" t="str">
            <v>c2962da4-0e28-4d96-8c4f-56ecca441d95</v>
          </cell>
          <cell r="F246">
            <v>2</v>
          </cell>
          <cell r="G246">
            <v>3</v>
          </cell>
          <cell r="J246">
            <v>1</v>
          </cell>
        </row>
        <row r="247">
          <cell r="A247" t="str">
            <v>c2f97981-b223-4b7e-a868-5850e950cc67</v>
          </cell>
          <cell r="F247">
            <v>3</v>
          </cell>
          <cell r="G247">
            <v>7</v>
          </cell>
          <cell r="J247">
            <v>2</v>
          </cell>
        </row>
        <row r="248">
          <cell r="A248" t="str">
            <v>c55476cd-e721-465a-bf9e-b8760716bf2f</v>
          </cell>
          <cell r="F248">
            <v>3</v>
          </cell>
          <cell r="G248">
            <v>7</v>
          </cell>
          <cell r="J248">
            <v>2</v>
          </cell>
        </row>
        <row r="249">
          <cell r="A249" t="str">
            <v>c5cdbfdb-4aa8-4380-8c10-4320ed42981d</v>
          </cell>
          <cell r="F249">
            <v>5</v>
          </cell>
          <cell r="G249">
            <v>10</v>
          </cell>
          <cell r="J249">
            <v>3</v>
          </cell>
        </row>
        <row r="250">
          <cell r="A250" t="str">
            <v>c9272f2b-015c-46db-9a77-6b069392409d</v>
          </cell>
          <cell r="F250">
            <v>5</v>
          </cell>
          <cell r="G250">
            <v>10</v>
          </cell>
          <cell r="J250">
            <v>3</v>
          </cell>
        </row>
        <row r="251">
          <cell r="A251" t="str">
            <v>22f6e3ce-5030-463e-865f-6b80fd4aef30</v>
          </cell>
          <cell r="F251">
            <v>3</v>
          </cell>
          <cell r="G251">
            <v>7</v>
          </cell>
          <cell r="J251">
            <v>2</v>
          </cell>
        </row>
        <row r="252">
          <cell r="A252" t="str">
            <v>d45abd97-7f45-40c7-8ca3-9a3a13e4f5a3</v>
          </cell>
          <cell r="F252">
            <v>3</v>
          </cell>
          <cell r="G252">
            <v>7</v>
          </cell>
          <cell r="J252">
            <v>2</v>
          </cell>
        </row>
        <row r="253">
          <cell r="A253" t="str">
            <v>d466bcdc-669a-4fa1-9116-0dd761a3aec3</v>
          </cell>
          <cell r="F253">
            <v>5</v>
          </cell>
          <cell r="G253">
            <v>10</v>
          </cell>
          <cell r="J253">
            <v>3</v>
          </cell>
        </row>
        <row r="254">
          <cell r="A254" t="str">
            <v>d55971a3-eddb-440c-9e58-95b14b63cf43</v>
          </cell>
          <cell r="F254">
            <v>5</v>
          </cell>
          <cell r="G254">
            <v>10</v>
          </cell>
          <cell r="J254">
            <v>3</v>
          </cell>
        </row>
        <row r="255">
          <cell r="A255" t="str">
            <v>db3c3f49-3965-4ea1-b695-d5114496b465</v>
          </cell>
          <cell r="F255">
            <v>5</v>
          </cell>
          <cell r="G255">
            <v>10</v>
          </cell>
          <cell r="J255">
            <v>3</v>
          </cell>
        </row>
        <row r="256">
          <cell r="A256" t="str">
            <v>dcf7c023-c4d2-4f5b-893b-6ee12ac9405f</v>
          </cell>
          <cell r="F256">
            <v>5</v>
          </cell>
          <cell r="G256">
            <v>10</v>
          </cell>
          <cell r="J256">
            <v>3</v>
          </cell>
        </row>
        <row r="257">
          <cell r="A257" t="str">
            <v>dd17b07b-afea-49a6-9ae5-20f6660d3ac7</v>
          </cell>
          <cell r="F257">
            <v>2</v>
          </cell>
          <cell r="G257">
            <v>3</v>
          </cell>
          <cell r="J257">
            <v>1</v>
          </cell>
        </row>
        <row r="258">
          <cell r="A258" t="str">
            <v>df959dee-1d11-4238-8d6e-6e14a88fac6c</v>
          </cell>
          <cell r="F258">
            <v>3</v>
          </cell>
          <cell r="G258">
            <v>7</v>
          </cell>
          <cell r="J258">
            <v>2</v>
          </cell>
        </row>
        <row r="259">
          <cell r="A259" t="str">
            <v>e242179a-fb16-45b1-94c4-a89dcd7821a3</v>
          </cell>
          <cell r="F259">
            <v>2</v>
          </cell>
          <cell r="G259">
            <v>3</v>
          </cell>
          <cell r="J259">
            <v>1</v>
          </cell>
        </row>
        <row r="260">
          <cell r="A260" t="str">
            <v>e29d2f57-6d56-4630-b3f8-aa55984cea3b</v>
          </cell>
          <cell r="F260">
            <v>3</v>
          </cell>
          <cell r="G260">
            <v>7</v>
          </cell>
          <cell r="J260">
            <v>2</v>
          </cell>
        </row>
        <row r="261">
          <cell r="A261" t="str">
            <v>e3a1bcef-1786-41b4-b6f1-8194fcbbf49d</v>
          </cell>
          <cell r="F261">
            <v>3</v>
          </cell>
          <cell r="G261">
            <v>7</v>
          </cell>
          <cell r="J261">
            <v>2</v>
          </cell>
        </row>
        <row r="262">
          <cell r="A262" t="str">
            <v>e445f493-2beb-4880-9efd-da2ac8938154</v>
          </cell>
          <cell r="F262">
            <v>5</v>
          </cell>
          <cell r="G262">
            <v>10</v>
          </cell>
          <cell r="J262">
            <v>3</v>
          </cell>
        </row>
        <row r="263">
          <cell r="A263" t="str">
            <v>e6da317a-9cbf-468f-aedd-d82f5b105299</v>
          </cell>
          <cell r="F263">
            <v>3</v>
          </cell>
          <cell r="G263">
            <v>7</v>
          </cell>
          <cell r="J263">
            <v>2</v>
          </cell>
        </row>
        <row r="264">
          <cell r="A264" t="str">
            <v>e871cccc-9819-45f6-8e3e-25f71f2e0a19</v>
          </cell>
          <cell r="F264">
            <v>5</v>
          </cell>
          <cell r="G264">
            <v>10</v>
          </cell>
          <cell r="J264">
            <v>3</v>
          </cell>
        </row>
        <row r="265">
          <cell r="A265" t="str">
            <v>efa2e042-cbff-4d79-ba02-3bca3dc3834d</v>
          </cell>
          <cell r="F265">
            <v>2</v>
          </cell>
          <cell r="G265">
            <v>3</v>
          </cell>
          <cell r="J265">
            <v>1</v>
          </cell>
        </row>
        <row r="266">
          <cell r="A266" t="str">
            <v>f0ffe380-3a9b-478c-ab81-6a6dea143a40</v>
          </cell>
          <cell r="F266">
            <v>5</v>
          </cell>
          <cell r="G266">
            <v>10</v>
          </cell>
          <cell r="J266">
            <v>3</v>
          </cell>
        </row>
        <row r="267">
          <cell r="A267" t="str">
            <v>0db6667d-8b3e-4a96-8750-f97ac73ddbbf</v>
          </cell>
          <cell r="F267">
            <v>2</v>
          </cell>
          <cell r="G267">
            <v>3</v>
          </cell>
          <cell r="J267">
            <v>1</v>
          </cell>
        </row>
        <row r="268">
          <cell r="A268" t="str">
            <v>f6b49006-e4c6-450d-b140-5a12f9d7fd76</v>
          </cell>
          <cell r="F268">
            <v>5</v>
          </cell>
          <cell r="G268">
            <v>10</v>
          </cell>
          <cell r="J268">
            <v>3</v>
          </cell>
        </row>
        <row r="269">
          <cell r="A269" t="str">
            <v>f7348c47-7f6d-4a2a-9476-c728a6d16cb1</v>
          </cell>
          <cell r="F269">
            <v>2</v>
          </cell>
          <cell r="G269">
            <v>3</v>
          </cell>
          <cell r="J269">
            <v>1</v>
          </cell>
        </row>
        <row r="270">
          <cell r="A270" t="str">
            <v>f969f55a-c16b-4e77-951d-53f25d3b347e</v>
          </cell>
          <cell r="F270">
            <v>5</v>
          </cell>
          <cell r="G270">
            <v>10</v>
          </cell>
          <cell r="J270">
            <v>3</v>
          </cell>
        </row>
        <row r="271">
          <cell r="A271" t="str">
            <v>f9bed181-42d7-40b7-a654-03bb7c3f39ed</v>
          </cell>
          <cell r="F271">
            <v>3</v>
          </cell>
          <cell r="G271">
            <v>7</v>
          </cell>
          <cell r="J271">
            <v>2</v>
          </cell>
        </row>
        <row r="272">
          <cell r="A272" t="str">
            <v>fe9645c8-7fee-45b6-bdea-2bbecc960ea6</v>
          </cell>
          <cell r="F272">
            <v>2</v>
          </cell>
          <cell r="G272">
            <v>3</v>
          </cell>
          <cell r="J272">
            <v>1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Sebastian Castiblanco Fonseca" refreshedDate="46150.892383680555" createdVersion="8" refreshedVersion="8" minRefreshableVersion="3" recordCount="339" xr:uid="{A960A495-EE3D-4838-AB8B-85490D88298F}">
  <cacheSource type="worksheet">
    <worksheetSource name="Table1"/>
  </cacheSource>
  <cacheFields count="23">
    <cacheField name="session_id" numFmtId="0">
      <sharedItems/>
    </cacheField>
    <cacheField name="user_id" numFmtId="0">
      <sharedItems containsMixedTypes="1" containsNumber="1" containsInteger="1" minValue="51985738333" maxValue="51985738333"/>
    </cacheField>
    <cacheField name="created_at" numFmtId="14">
      <sharedItems containsSemiMixedTypes="0" containsNonDate="0" containsDate="1" containsString="0" minDate="2026-04-19T00:00:00" maxDate="2026-05-04T00:00:00"/>
    </cacheField>
    <cacheField name="session_mode" numFmtId="0">
      <sharedItems/>
    </cacheField>
    <cacheField name="session_use_rag" numFmtId="0">
      <sharedItems/>
    </cacheField>
    <cacheField name="interaction_number" numFmtId="0">
      <sharedItems containsSemiMixedTypes="0" containsString="0" containsNumber="1" containsInteger="1" minValue="1" maxValue="4"/>
    </cacheField>
    <cacheField name="timestamp" numFmtId="20">
      <sharedItems containsSemiMixedTypes="0" containsNonDate="0" containsDate="1" containsString="0" minDate="1899-12-30T00:00:00" maxDate="1899-12-30T23:55:00"/>
    </cacheField>
    <cacheField name="query" numFmtId="0">
      <sharedItems/>
    </cacheField>
    <cacheField name="routed_query" numFmtId="0">
      <sharedItems/>
    </cacheField>
    <cacheField name="mode" numFmtId="0">
      <sharedItems count="2">
        <s v="RAG"/>
        <s v="DIRECT"/>
      </sharedItems>
    </cacheField>
    <cacheField name="use_rag" numFmtId="0">
      <sharedItems/>
    </cacheField>
    <cacheField name="used_cache" numFmtId="0">
      <sharedItems/>
    </cacheField>
    <cacheField name="latency_ms" numFmtId="0">
      <sharedItems containsSemiMixedTypes="0" containsString="0" containsNumber="1" minValue="1.1779500000000001E-3" maxValue="6.5702150000000001E-2"/>
    </cacheField>
    <cacheField name="results_count" numFmtId="0">
      <sharedItems containsSemiMixedTypes="0" containsString="0" containsNumber="1" containsInteger="1" minValue="1" maxValue="5"/>
    </cacheField>
    <cacheField name="title_response" numFmtId="0">
      <sharedItems/>
    </cacheField>
    <cacheField name="score_response" numFmtId="0">
      <sharedItems containsSemiMixedTypes="0" containsString="0" containsNumber="1" minValue="-0.60660000000000003" maxValue="0.99939999999999996"/>
    </cacheField>
    <cacheField name="csat_score" numFmtId="0">
      <sharedItems containsString="0" containsBlank="1" containsNumber="1" containsInteger="1" minValue="2" maxValue="5"/>
    </cacheField>
    <cacheField name="nps_score" numFmtId="0">
      <sharedItems containsString="0" containsBlank="1" containsNumber="1" containsInteger="1" minValue="3" maxValue="10"/>
    </cacheField>
    <cacheField name="nps_category" numFmtId="0">
      <sharedItems containsBlank="1"/>
    </cacheField>
    <cacheField name="resolution_label" numFmtId="0">
      <sharedItems containsBlank="1"/>
    </cacheField>
    <cacheField name="resolution_numeric" numFmtId="0">
      <sharedItems containsString="0" containsBlank="1" containsNumber="1" containsInteger="1" minValue="1" maxValue="3"/>
    </cacheField>
    <cacheField name="Total" numFmtId="0">
      <sharedItems containsSemiMixedTypes="0" containsString="0" containsNumber="1" containsInteger="1" minValue="1" maxValue="1"/>
    </cacheField>
    <cacheField name="Survey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08b2d098-8bdd-41f3-88c4-e8f3a0dc1d4e"/>
    <s v="57 317 8517661"/>
    <d v="2026-04-19T00:00:00"/>
    <s v="RAG"/>
    <b v="1"/>
    <n v="1"/>
    <d v="1899-12-30T03:15:00"/>
    <s v="una serie parecida a besos kitty"/>
    <s v="una serie parecida a besos kitty"/>
    <x v="0"/>
    <b v="1"/>
    <b v="0"/>
    <n v="1.923E-3"/>
    <n v="5"/>
    <s v="Hasta que te conocí"/>
    <n v="0.17829999999999999"/>
    <n v="5"/>
    <n v="10"/>
    <s v="promoter"/>
    <s v="yes"/>
    <n v="3"/>
    <n v="1"/>
    <n v="1"/>
  </r>
  <r>
    <s v="08b2d098-8bdd-41f3-88c4-e8f3a0dc1d4e"/>
    <s v="57 317 8517661"/>
    <d v="2026-04-19T00:00:00"/>
    <s v="RAG"/>
    <b v="1"/>
    <n v="2"/>
    <d v="1899-12-30T03:19:00"/>
    <s v="o una serie de k-drama parecido a mi adorable demonio"/>
    <s v="o una serie de k-drama parecido a mi adorable demonio"/>
    <x v="0"/>
    <b v="1"/>
    <b v="0"/>
    <n v="2.51933333333333E-3"/>
    <n v="5"/>
    <s v="Quo Vadis?"/>
    <n v="0.55589999999999995"/>
    <n v="5"/>
    <n v="10"/>
    <s v="promoter"/>
    <s v="yes"/>
    <n v="3"/>
    <n v="1"/>
    <n v="1"/>
  </r>
  <r>
    <s v="cd7d7ecd-83f1-4ba5-8adb-9c26f84632dd"/>
    <s v="57 317 8517661"/>
    <d v="2026-04-19T00:00:00"/>
    <s v="RAG"/>
    <b v="1"/>
    <n v="1"/>
    <d v="1899-12-30T02:39:00"/>
    <s v="recomienda me novelas como sin senos si hay paraíso"/>
    <s v="recomienda me novelas como sin senos si hay paraíso"/>
    <x v="0"/>
    <b v="1"/>
    <b v="0"/>
    <n v="2.4817166666666599E-3"/>
    <n v="5"/>
    <s v="Trilussa - Storia d'amore e di poesia"/>
    <n v="0.13420000000000001"/>
    <n v="5"/>
    <n v="7"/>
    <s v="passive"/>
    <s v="no"/>
    <n v="1"/>
    <n v="1"/>
    <n v="1"/>
  </r>
  <r>
    <s v="cd7d7ecd-83f1-4ba5-8adb-9c26f84632dd"/>
    <s v="57 317 8517661"/>
    <d v="2026-04-19T00:00:00"/>
    <s v="RAG"/>
    <b v="1"/>
    <n v="2"/>
    <d v="1899-12-30T02:45:00"/>
    <s v="una novela que sea de colombia"/>
    <s v="una novela que sea de colombia"/>
    <x v="0"/>
    <b v="1"/>
    <b v="0"/>
    <n v="1.9628499999999999E-3"/>
    <n v="5"/>
    <s v="El Señor de los Cielos"/>
    <n v="0.25240000000000001"/>
    <n v="5"/>
    <n v="7"/>
    <s v="passive"/>
    <s v="no"/>
    <n v="1"/>
    <n v="1"/>
    <n v="1"/>
  </r>
  <r>
    <s v="cd7d7ecd-83f1-4ba5-8adb-9c26f84632dd"/>
    <s v="57 317 8517661"/>
    <d v="2026-04-19T00:00:00"/>
    <s v="RAG"/>
    <b v="1"/>
    <n v="3"/>
    <d v="1899-12-30T02:51:00"/>
    <s v="y series de colombia como sin senos si hay paraíso o el man es german"/>
    <s v="y series de colombia como sin senos si hay paraíso o el man es german"/>
    <x v="0"/>
    <b v="1"/>
    <b v="0"/>
    <n v="1.6333000000000001E-3"/>
    <n v="5"/>
    <s v="Juanpis González - The Series"/>
    <n v="0.35089999999999999"/>
    <n v="5"/>
    <n v="7"/>
    <s v="passive"/>
    <s v="no"/>
    <n v="1"/>
    <n v="1"/>
    <n v="1"/>
  </r>
  <r>
    <s v="cd7d7ecd-83f1-4ba5-8adb-9c26f84632dd"/>
    <s v="57 317 8517661"/>
    <d v="2026-04-19T00:00:00"/>
    <s v="RAG"/>
    <b v="1"/>
    <n v="4"/>
    <d v="1899-12-30T03:07:00"/>
    <s v="y una parecida a la reina del flow"/>
    <s v="y una parecida a la reina del flow"/>
    <x v="0"/>
    <b v="1"/>
    <b v="0"/>
    <n v="5.5396666666666598E-3"/>
    <n v="5"/>
    <s v="Flow"/>
    <n v="0.24840000000000001"/>
    <n v="5"/>
    <n v="7"/>
    <s v="passive"/>
    <s v="no"/>
    <n v="1"/>
    <n v="1"/>
    <n v="1"/>
  </r>
  <r>
    <s v="d838cc06-a4eb-43cb-87cf-aa38d98490d3"/>
    <s v="57 310 7677418"/>
    <d v="2026-04-19T00:00:00"/>
    <s v="DIRECT"/>
    <b v="0"/>
    <n v="1"/>
    <d v="1899-12-30T02:34:00"/>
    <s v="lista de películas de acción mas vistas"/>
    <s v="lista de películas de acción mas vistas"/>
    <x v="1"/>
    <b v="0"/>
    <b v="0"/>
    <n v="1.25401666666666E-3"/>
    <n v="5"/>
    <s v="Cabrujas en el país del disimulo"/>
    <n v="0.1434"/>
    <n v="3"/>
    <n v="7"/>
    <s v="passive"/>
    <s v="partial"/>
    <n v="2"/>
    <n v="1"/>
    <n v="1"/>
  </r>
  <r>
    <s v="d838cc06-a4eb-43cb-87cf-aa38d98490d3"/>
    <s v="57 310 7677418"/>
    <d v="2026-04-19T00:00:00"/>
    <s v="DIRECT"/>
    <b v="0"/>
    <n v="2"/>
    <d v="1899-12-30T02:40:00"/>
    <s v="mejores películas de ciencia ficción"/>
    <s v="mejores películas de ciencia ficción"/>
    <x v="1"/>
    <b v="0"/>
    <b v="0"/>
    <n v="3.6489999999999999E-3"/>
    <n v="5"/>
    <s v="Cristóbal Balenciaga"/>
    <n v="0.10199999999999999"/>
    <n v="3"/>
    <n v="7"/>
    <s v="passive"/>
    <s v="partial"/>
    <n v="2"/>
    <n v="1"/>
    <n v="1"/>
  </r>
  <r>
    <s v="d838cc06-a4eb-43cb-87cf-aa38d98490d3"/>
    <s v="57 310 7677418"/>
    <d v="2026-04-19T00:00:00"/>
    <s v="DIRECT"/>
    <b v="0"/>
    <n v="3"/>
    <d v="1899-12-30T02:59:00"/>
    <s v="si"/>
    <s v="si"/>
    <x v="1"/>
    <b v="0"/>
    <b v="0"/>
    <n v="7.1902666666666601E-3"/>
    <n v="5"/>
    <s v="Total DramaRama"/>
    <n v="0.24729999999999999"/>
    <n v="3"/>
    <n v="7"/>
    <s v="passive"/>
    <s v="partial"/>
    <n v="2"/>
    <n v="1"/>
    <n v="1"/>
  </r>
  <r>
    <s v="d838cc06-a4eb-43cb-87cf-aa38d98490d3"/>
    <s v="57 310 7677418"/>
    <d v="2026-04-19T00:00:00"/>
    <s v="DIRECT"/>
    <b v="0"/>
    <n v="4"/>
    <d v="1899-12-30T03:02:00"/>
    <s v="drama"/>
    <s v="drama"/>
    <x v="1"/>
    <b v="0"/>
    <b v="0"/>
    <n v="1.1779500000000001E-3"/>
    <n v="5"/>
    <s v="Yudh"/>
    <n v="0.36130000000000001"/>
    <n v="3"/>
    <n v="7"/>
    <s v="passive"/>
    <s v="partial"/>
    <n v="2"/>
    <n v="1"/>
    <n v="1"/>
  </r>
  <r>
    <s v="f66cfaaa-ccff-4b27-801a-f7d3163612b4"/>
    <s v="57 313 2880704"/>
    <d v="2026-04-19T00:00:00"/>
    <s v="RAG"/>
    <b v="1"/>
    <n v="1"/>
    <d v="1899-12-30T05:17:00"/>
    <s v="películas de terror"/>
    <s v="películas de terror"/>
    <x v="0"/>
    <b v="1"/>
    <b v="0"/>
    <n v="1.60931666666666E-3"/>
    <n v="5"/>
    <s v="Four Nights in Fear Forest"/>
    <n v="0.20849999999999999"/>
    <n v="5"/>
    <n v="10"/>
    <s v="promoter"/>
    <s v="yes"/>
    <n v="3"/>
    <n v="1"/>
    <n v="1"/>
  </r>
  <r>
    <s v="e08b5b69-8d07-4e26-bdb9-c38c0088968a"/>
    <s v="57 316 7556912"/>
    <d v="2026-04-20T00:00:00"/>
    <s v="DIRECT"/>
    <b v="0"/>
    <n v="1"/>
    <d v="1899-12-30T00:27:00"/>
    <s v="Películas similares a recomienda algo parecido a the lord of the rings"/>
    <s v="Películas similares a recomienda algo parecido a the lord of the rings"/>
    <x v="1"/>
    <b v="0"/>
    <b v="0"/>
    <n v="3.32711666666666E-3"/>
    <n v="5"/>
    <s v="The Lord of the Rings: The Rings of Power"/>
    <n v="0.37490000000000001"/>
    <n v="5"/>
    <n v="10"/>
    <s v="promoter"/>
    <s v="yes"/>
    <n v="3"/>
    <n v="1"/>
    <n v="1"/>
  </r>
  <r>
    <s v="e08b5b69-8d07-4e26-bdb9-c38c0088968a"/>
    <s v="57 316 7556912"/>
    <d v="2026-04-20T00:00:00"/>
    <s v="DIRECT"/>
    <b v="0"/>
    <n v="2"/>
    <d v="1899-12-30T00:29:00"/>
    <s v="informacion sobre la pelicula One Battle after the other"/>
    <s v="informacion sobre la pelicula One Battle after the other"/>
    <x v="1"/>
    <b v="0"/>
    <b v="0"/>
    <n v="1.4679833333333301E-3"/>
    <n v="5"/>
    <s v="Kurukshetra: The Great War of Mahabharata"/>
    <n v="0.36609999999999998"/>
    <n v="5"/>
    <n v="10"/>
    <s v="promoter"/>
    <s v="yes"/>
    <n v="3"/>
    <n v="1"/>
    <n v="1"/>
  </r>
  <r>
    <s v="e08b5b69-8d07-4e26-bdb9-c38c0088968a"/>
    <s v="57 316 7556912"/>
    <d v="2026-04-20T00:00:00"/>
    <s v="DIRECT"/>
    <b v="0"/>
    <n v="3"/>
    <d v="1899-12-30T00:34:00"/>
    <s v="Películas similares a informacion sobre la pelicula one battle after another"/>
    <s v="Películas similares a informacion sobre la pelicula one battle after another"/>
    <x v="1"/>
    <b v="0"/>
    <b v="0"/>
    <n v="2.97206666666666E-3"/>
    <n v="5"/>
    <s v="Ebre, del bressol a la batalla"/>
    <n v="0.19980000000000001"/>
    <n v="5"/>
    <n v="10"/>
    <s v="promoter"/>
    <s v="yes"/>
    <n v="3"/>
    <n v="1"/>
    <n v="1"/>
  </r>
  <r>
    <s v="16989b85-b062-44f1-a116-6e42afa06118"/>
    <s v="57 316 7556912"/>
    <d v="2026-04-22T00:00:00"/>
    <s v="RAG"/>
    <b v="1"/>
    <n v="1"/>
    <d v="1899-12-30T00:48:00"/>
    <s v="una recomendacion para una serie como the big bang theory"/>
    <s v="una recomendacion para una serie como the big bang theory"/>
    <x v="0"/>
    <b v="1"/>
    <b v="0"/>
    <n v="1.714765E-2"/>
    <n v="5"/>
    <s v="The Big Bang Theory"/>
    <n v="0.52180000000000004"/>
    <n v="5"/>
    <n v="10"/>
    <s v="promoter"/>
    <s v="yes"/>
    <n v="3"/>
    <n v="1"/>
    <n v="1"/>
  </r>
  <r>
    <s v="18bac071-cac8-47d5-9bec-1b746953859f"/>
    <s v="57 302 5203977"/>
    <d v="2026-04-22T00:00:00"/>
    <s v="RAG"/>
    <b v="1"/>
    <n v="1"/>
    <d v="1899-12-30T22:18:00"/>
    <s v="recomienda algo parecido a harry potte"/>
    <s v="recomienda algo parecido a harry potte"/>
    <x v="0"/>
    <b v="1"/>
    <b v="0"/>
    <n v="1.8966116666666599E-2"/>
    <n v="5"/>
    <s v="Harry Potter: Wizards of Baking"/>
    <n v="0.36580000000000001"/>
    <n v="3"/>
    <n v="7"/>
    <s v="passive"/>
    <s v="partial"/>
    <n v="2"/>
    <n v="1"/>
    <n v="1"/>
  </r>
  <r>
    <s v="18bac071-cac8-47d5-9bec-1b746953859f"/>
    <s v="57 302 5203977"/>
    <d v="2026-04-22T00:00:00"/>
    <s v="RAG"/>
    <b v="1"/>
    <n v="2"/>
    <d v="1899-12-30T22:37:00"/>
    <s v="no gracias asi esta bien"/>
    <s v="no gracias asi esta bien"/>
    <x v="0"/>
    <b v="1"/>
    <b v="0"/>
    <n v="6.9329999999999999E-3"/>
    <n v="5"/>
    <s v="Así es la vida"/>
    <n v="0.1832"/>
    <n v="3"/>
    <n v="7"/>
    <s v="passive"/>
    <s v="partial"/>
    <n v="2"/>
    <n v="1"/>
    <n v="1"/>
  </r>
  <r>
    <s v="2ac0bb83-8c2f-4993-83a5-3bc7c504acb3"/>
    <s v="57 311 7259186"/>
    <d v="2026-05-02T00:00:00"/>
    <s v="RAG"/>
    <b v="1"/>
    <n v="1"/>
    <d v="1899-12-30T02:56:00"/>
    <s v="acción con inteligencia artificial"/>
    <s v="acción con inteligencia artificial"/>
    <x v="0"/>
    <b v="1"/>
    <b v="0"/>
    <n v="5.3240499999999899E-3"/>
    <n v="5"/>
    <s v="Pantheon"/>
    <n v="0.35830000000000001"/>
    <m/>
    <m/>
    <m/>
    <m/>
    <m/>
    <n v="1"/>
    <n v="0"/>
  </r>
  <r>
    <s v="48b4ce6a-07fd-4434-b596-b32aec2cf5ad"/>
    <s v="57 314 6162072"/>
    <d v="2026-04-22T00:00:00"/>
    <s v="RAG"/>
    <b v="1"/>
    <n v="1"/>
    <d v="1899-12-30T01:51:00"/>
    <s v="recomiendame una serie epica de alta sintonia"/>
    <s v="recomiendame una serie epica de alta sintonia"/>
    <x v="0"/>
    <b v="1"/>
    <b v="0"/>
    <n v="1.9927133333333302E-2"/>
    <n v="5"/>
    <s v="Il diario segreto di una minorenne"/>
    <n v="0.34110000000000001"/>
    <m/>
    <m/>
    <m/>
    <m/>
    <m/>
    <n v="1"/>
    <n v="0"/>
  </r>
  <r>
    <s v="621f8839-f1d3-4d8d-a9cf-6287ce3ec223"/>
    <s v="57 318 3707239"/>
    <d v="2026-05-02T00:00:00"/>
    <s v="RAG"/>
    <b v="1"/>
    <n v="1"/>
    <d v="1899-12-30T04:08:00"/>
    <s v="acción con superhéroes"/>
    <s v="acción con superhéroes"/>
    <x v="0"/>
    <b v="1"/>
    <b v="0"/>
    <n v="5.16866666666666E-3"/>
    <n v="5"/>
    <s v="PJ Masks: Music Videos"/>
    <n v="0.38869999999999999"/>
    <m/>
    <m/>
    <m/>
    <m/>
    <m/>
    <n v="1"/>
    <n v="0"/>
  </r>
  <r>
    <s v="5e0a76f2-30ef-4036-9f41-6767f0db5abc"/>
    <s v="57 316 7556912"/>
    <d v="2026-04-22T00:00:00"/>
    <s v="DIRECT"/>
    <b v="0"/>
    <n v="1"/>
    <d v="1899-12-30T16:00:00"/>
    <s v="dame una recomendacion para peliculas de robots y peleas"/>
    <s v="dame una recomendacion para peliculas de robots y peleas"/>
    <x v="1"/>
    <b v="0"/>
    <b v="0"/>
    <n v="1.08261333333333E-2"/>
    <n v="5"/>
    <s v="Transformers: BotBots"/>
    <n v="0.2545"/>
    <n v="5"/>
    <n v="10"/>
    <s v="promoter"/>
    <s v="yes"/>
    <n v="3"/>
    <n v="1"/>
    <n v="1"/>
  </r>
  <r>
    <s v="695cd73f-1759-4d9d-afda-d0c12ab6d2a8"/>
    <s v="57 301 5989061"/>
    <d v="2026-04-22T00:00:00"/>
    <s v="DIRECT"/>
    <b v="0"/>
    <n v="2"/>
    <d v="1899-12-30T16:54:00"/>
    <s v="una peli sobre un robo millonario"/>
    <s v="una peli sobre un robo millonario"/>
    <x v="1"/>
    <b v="0"/>
    <b v="0"/>
    <n v="1.0170366666666601E-2"/>
    <n v="5"/>
    <s v="Romário, o Cara"/>
    <n v="0.1605"/>
    <n v="5"/>
    <n v="7"/>
    <s v="passive"/>
    <s v="partial"/>
    <n v="2"/>
    <n v="1"/>
    <n v="1"/>
  </r>
  <r>
    <s v="8694bc8d-da29-46ec-8682-7b7f549593f8"/>
    <s v="57 317 8517661"/>
    <d v="2026-04-22T00:00:00"/>
    <s v="DIRECT"/>
    <b v="0"/>
    <n v="1"/>
    <d v="1899-12-30T18:48:00"/>
    <s v="recomienda me series como chica vampiro"/>
    <s v="recomienda me series como chica vampiro"/>
    <x v="1"/>
    <b v="0"/>
    <b v="0"/>
    <n v="1.0307183333333299E-2"/>
    <n v="5"/>
    <s v="Misericordia: The Last Mystery of Kristo Vampiro"/>
    <n v="0.27189999999999998"/>
    <n v="5"/>
    <n v="10"/>
    <s v="promoter"/>
    <s v="yes"/>
    <n v="3"/>
    <n v="1"/>
    <n v="1"/>
  </r>
  <r>
    <s v="8694bc8d-da29-46ec-8682-7b7f549593f8"/>
    <s v="57 317 8517661"/>
    <d v="2026-04-22T00:00:00"/>
    <s v="DIRECT"/>
    <b v="0"/>
    <n v="2"/>
    <d v="1899-12-30T19:11:00"/>
    <s v="parecido a diario de vampiros"/>
    <s v="parecido a diario de vampiros"/>
    <x v="1"/>
    <b v="0"/>
    <b v="0"/>
    <n v="1.60781333333333E-2"/>
    <n v="5"/>
    <s v="Nail in the Coffin: The Fall and Rise of Vampiro"/>
    <n v="0.21279999999999999"/>
    <n v="5"/>
    <n v="10"/>
    <s v="promoter"/>
    <s v="yes"/>
    <n v="3"/>
    <n v="1"/>
    <n v="1"/>
  </r>
  <r>
    <s v="8ac3d0fa-20b2-4dea-aaac-b4cf71d80245"/>
    <s v="57 314 6162072"/>
    <d v="2026-04-22T00:00:00"/>
    <s v="DIRECT"/>
    <b v="0"/>
    <n v="1"/>
    <d v="1899-12-30T21:22:00"/>
    <s v="rambo"/>
    <s v="rambo"/>
    <x v="1"/>
    <b v="0"/>
    <b v="0"/>
    <n v="6.8984333333333304E-3"/>
    <n v="5"/>
    <s v="Rambo"/>
    <n v="0.28410000000000002"/>
    <n v="5"/>
    <n v="10"/>
    <s v="promoter"/>
    <s v="yes"/>
    <n v="3"/>
    <n v="1"/>
    <n v="1"/>
  </r>
  <r>
    <s v="8c115acb-edcf-4f5f-95f6-3e4dc0db190b"/>
    <s v="57 301 5989061"/>
    <d v="2026-04-22T00:00:00"/>
    <s v="RAG"/>
    <b v="1"/>
    <n v="1"/>
    <d v="1899-12-30T16:19:00"/>
    <s v="una peli sobre narcos"/>
    <s v="una peli sobre narcos"/>
    <x v="0"/>
    <b v="1"/>
    <b v="0"/>
    <n v="1.2151833333333299E-2"/>
    <n v="5"/>
    <s v="Narcos"/>
    <n v="0.32469999999999999"/>
    <n v="5"/>
    <n v="10"/>
    <s v="promoter"/>
    <s v="yes"/>
    <n v="3"/>
    <n v="1"/>
    <n v="1"/>
  </r>
  <r>
    <s v="c32fafa2-435e-402b-91c7-eb4e118a3020"/>
    <s v="57 301 5989061"/>
    <d v="2026-04-22T00:00:00"/>
    <s v="DIRECT"/>
    <b v="0"/>
    <n v="1"/>
    <d v="1899-12-30T01:11:00"/>
    <s v="una pelicula de ovnis y policias"/>
    <s v="una pelicula de ovnis y policias"/>
    <x v="1"/>
    <b v="0"/>
    <b v="0"/>
    <n v="1.7868149999999999E-2"/>
    <n v="5"/>
    <s v="Occident"/>
    <n v="0.1681"/>
    <m/>
    <m/>
    <m/>
    <m/>
    <m/>
    <n v="1"/>
    <n v="0"/>
  </r>
  <r>
    <s v="1685093a-d39c-472d-aae2-f8c92886a91a"/>
    <s v="57 319 1760431"/>
    <d v="2026-05-02T00:00:00"/>
    <s v="DIRECT"/>
    <b v="0"/>
    <n v="1"/>
    <d v="1899-12-30T03:30:00"/>
    <s v="ciencia ficción con aliens"/>
    <s v="ciencia ficción con aliens"/>
    <x v="1"/>
    <b v="0"/>
    <b v="0"/>
    <n v="3.8473000000000001E-3"/>
    <n v="5"/>
    <s v="Jeff and Some Aliens"/>
    <n v="0.43559999999999999"/>
    <m/>
    <m/>
    <m/>
    <m/>
    <m/>
    <n v="1"/>
    <n v="0"/>
  </r>
  <r>
    <s v="f573224d-255c-4b19-8b1a-28adb0a3482b"/>
    <s v="57 313 7669392"/>
    <d v="2026-04-22T00:00:00"/>
    <s v="RAG"/>
    <b v="1"/>
    <n v="1"/>
    <d v="1899-12-30T01:19:00"/>
    <s v="pelis sobre religion"/>
    <s v="pelis sobre religion"/>
    <x v="0"/>
    <b v="1"/>
    <b v="0"/>
    <n v="2.0122083333333301E-2"/>
    <n v="5"/>
    <s v="3 Hati Dua Dunia Satu Cinta"/>
    <n v="0.19109999999999999"/>
    <m/>
    <m/>
    <m/>
    <m/>
    <m/>
    <n v="1"/>
    <n v="0"/>
  </r>
  <r>
    <s v="f573224d-255c-4b19-8b1a-28adb0a3482b"/>
    <s v="57 313 7669392"/>
    <d v="2026-04-22T00:00:00"/>
    <s v="RAG"/>
    <b v="1"/>
    <n v="2"/>
    <d v="1899-12-30T02:11:00"/>
    <s v="pelis sobre aliens"/>
    <s v="pelis sobre aliens"/>
    <x v="0"/>
    <b v="1"/>
    <b v="0"/>
    <n v="3.1171683333333301E-2"/>
    <n v="5"/>
    <s v="3Below: Tales of Arcadia"/>
    <n v="0.2409"/>
    <m/>
    <m/>
    <m/>
    <m/>
    <m/>
    <n v="1"/>
    <n v="0"/>
  </r>
  <r>
    <s v="76aeb843-d89b-4637-816e-47ea1096171d"/>
    <s v="57 310 4934464"/>
    <d v="2026-04-23T00:00:00"/>
    <s v="DIRECT"/>
    <b v="0"/>
    <n v="2"/>
    <d v="1899-12-30T16:57:00"/>
    <s v="cual de esas seria mas parecida a arrival"/>
    <s v="cual de esas seria mas parecida a arrival"/>
    <x v="1"/>
    <b v="0"/>
    <b v="0"/>
    <n v="1.07992666666666E-2"/>
    <n v="5"/>
    <s v="La promesa"/>
    <n v="0.14269999999999999"/>
    <n v="5"/>
    <n v="10"/>
    <s v="promoter"/>
    <s v="partial"/>
    <n v="2"/>
    <n v="1"/>
    <n v="1"/>
  </r>
  <r>
    <s v="f80997d9-ec4f-4af2-bf42-f05b7c98bd27"/>
    <s v="57 313 0672562"/>
    <d v="2026-05-02T00:00:00"/>
    <s v="DIRECT"/>
    <b v="0"/>
    <n v="1"/>
    <d v="1899-12-30T04:28:00"/>
    <s v="ciencia ficción futurista"/>
    <s v="ciencia ficción futurista"/>
    <x v="1"/>
    <b v="0"/>
    <b v="0"/>
    <n v="4.1307333333333298E-3"/>
    <n v="5"/>
    <s v="Bureau 749"/>
    <n v="0.34489999999999998"/>
    <m/>
    <m/>
    <m/>
    <m/>
    <m/>
    <n v="1"/>
    <n v="0"/>
  </r>
  <r>
    <s v="c7bd6967-0349-4a3a-b098-668b108bfbae"/>
    <s v="57 317 5810492"/>
    <d v="2026-05-02T00:00:00"/>
    <s v="RAG"/>
    <b v="1"/>
    <n v="1"/>
    <d v="1899-12-30T02:41:00"/>
    <s v="comedias familiares divertidas"/>
    <s v="comedias familiares divertidas"/>
    <x v="0"/>
    <b v="1"/>
    <b v="0"/>
    <n v="4.4047000000000001E-3"/>
    <n v="5"/>
    <s v="È questa la vita che sognavo da bambino?"/>
    <n v="0.1736"/>
    <m/>
    <m/>
    <m/>
    <m/>
    <m/>
    <n v="1"/>
    <n v="0"/>
  </r>
  <r>
    <s v="e7e9f639-16c8-4c97-a1b1-1c848c6e93e6"/>
    <s v="57 316 7556912"/>
    <d v="2026-04-25T00:00:00"/>
    <s v="RAG"/>
    <b v="1"/>
    <n v="1"/>
    <d v="1899-12-30T00:56:00"/>
    <s v="recomiendame algo parecido a back to the future"/>
    <s v="recomiendame algo parecido a back to the future"/>
    <x v="0"/>
    <b v="1"/>
    <b v="0"/>
    <n v="6.5702150000000001E-2"/>
    <n v="5"/>
    <s v="Back to the Future"/>
    <n v="0.44840000000000002"/>
    <n v="5"/>
    <n v="10"/>
    <s v="promoter"/>
    <s v="yes"/>
    <n v="3"/>
    <n v="1"/>
    <n v="1"/>
  </r>
  <r>
    <s v="e7e9f639-16c8-4c97-a1b1-1c848c6e93e6"/>
    <s v="57 316 7556912"/>
    <d v="2026-04-25T00:00:00"/>
    <s v="RAG"/>
    <b v="1"/>
    <n v="2"/>
    <d v="1899-12-30T01:10:00"/>
    <s v="gracias"/>
    <s v="gracias"/>
    <x v="0"/>
    <b v="1"/>
    <b v="0"/>
    <n v="5.3266833333333301E-3"/>
    <n v="5"/>
    <s v="The Twilight Zone"/>
    <n v="0.15840000000000001"/>
    <n v="5"/>
    <n v="10"/>
    <s v="promoter"/>
    <s v="yes"/>
    <n v="3"/>
    <n v="1"/>
    <n v="1"/>
  </r>
  <r>
    <s v="0532bfcd-2ca5-45f4-8a00-cefc232ce09d"/>
    <s v="57 316 7556912"/>
    <d v="2026-04-26T00:00:00"/>
    <s v="DIRECT"/>
    <b v="0"/>
    <n v="1"/>
    <d v="1899-12-30T23:25:00"/>
    <s v="recomiendame algo parecido a ready player one"/>
    <s v="recomiendame algo parecido a ready player one"/>
    <x v="1"/>
    <b v="0"/>
    <b v="0"/>
    <n v="1.72059833333333E-2"/>
    <n v="5"/>
    <s v="Deal or No Deal"/>
    <n v="0.35460000000000003"/>
    <n v="5"/>
    <n v="10"/>
    <s v="promoter"/>
    <s v="yes"/>
    <n v="3"/>
    <n v="1"/>
    <n v="1"/>
  </r>
  <r>
    <s v="27f3ce91-1ed7-40b2-b25c-f66efcd5a9f9"/>
    <s v="57 317 8517661"/>
    <d v="2026-04-26T00:00:00"/>
    <s v="RAG"/>
    <b v="1"/>
    <n v="1"/>
    <d v="1899-12-30T23:32:00"/>
    <s v="una pelicula como crepusculo"/>
    <s v="una pelicula como crepusculo"/>
    <x v="0"/>
    <b v="1"/>
    <b v="0"/>
    <n v="1.5763633333333301E-2"/>
    <n v="5"/>
    <s v="The World's Gold"/>
    <n v="0.2601"/>
    <n v="5"/>
    <n v="10"/>
    <s v="promoter"/>
    <s v="yes"/>
    <n v="3"/>
    <n v="1"/>
    <n v="1"/>
  </r>
  <r>
    <s v="4d99f7d0-65bd-486a-8652-6bdc169fb3a2"/>
    <s v="57 313 4135614"/>
    <d v="2026-05-02T00:00:00"/>
    <s v="RAG"/>
    <b v="1"/>
    <n v="1"/>
    <d v="1899-12-30T04:21:00"/>
    <s v="comedias románticas ligeras"/>
    <s v="comedias románticas ligeras"/>
    <x v="0"/>
    <b v="1"/>
    <b v="0"/>
    <n v="3.8663999999999999E-3"/>
    <n v="5"/>
    <s v="Along came Love"/>
    <n v="0.29070000000000001"/>
    <m/>
    <m/>
    <m/>
    <m/>
    <m/>
    <n v="1"/>
    <n v="0"/>
  </r>
  <r>
    <s v="5893f3ab-851d-4ecd-bbc1-44a451e82273"/>
    <s v="57 315 5918182"/>
    <d v="2026-04-26T00:00:00"/>
    <s v="RAG"/>
    <b v="1"/>
    <n v="2"/>
    <d v="1899-12-30T01:05:00"/>
    <s v="serie de abogados"/>
    <s v="serie de abogados"/>
    <x v="0"/>
    <b v="1"/>
    <b v="0"/>
    <n v="6.4578833333333299E-3"/>
    <n v="5"/>
    <s v="Mama Drama"/>
    <n v="0.3997"/>
    <n v="5"/>
    <n v="10"/>
    <s v="promoter"/>
    <s v="yes"/>
    <n v="3"/>
    <n v="1"/>
    <n v="1"/>
  </r>
  <r>
    <s v="5893f3ab-851d-4ecd-bbc1-44a451e82273"/>
    <s v="57 315 5918182"/>
    <d v="2026-04-26T00:00:00"/>
    <s v="RAG"/>
    <b v="1"/>
    <n v="3"/>
    <d v="1899-12-30T01:27:00"/>
    <s v="explorar mas opciones de leyes y juicios"/>
    <s v="explorar mas opciones de leyes y juicios"/>
    <x v="0"/>
    <b v="1"/>
    <b v="1"/>
    <n v="1.09996333333333E-2"/>
    <n v="1"/>
    <s v="Helga y Flora"/>
    <n v="0.3765"/>
    <n v="5"/>
    <n v="10"/>
    <s v="promoter"/>
    <s v="yes"/>
    <n v="3"/>
    <n v="1"/>
    <n v="1"/>
  </r>
  <r>
    <s v="5893f3ab-851d-4ecd-bbc1-44a451e82273"/>
    <s v="57 315 5918182"/>
    <d v="2026-04-26T00:00:00"/>
    <s v="RAG"/>
    <b v="1"/>
    <n v="4"/>
    <d v="1899-12-30T02:47:00"/>
    <s v="similares a law order"/>
    <s v="similares a law order"/>
    <x v="0"/>
    <b v="1"/>
    <b v="0"/>
    <n v="7.7275E-3"/>
    <n v="5"/>
    <s v="Law School"/>
    <n v="0.3962"/>
    <n v="5"/>
    <n v="10"/>
    <s v="promoter"/>
    <s v="yes"/>
    <n v="3"/>
    <n v="1"/>
    <n v="1"/>
  </r>
  <r>
    <s v="0a114f43-e48f-4ead-9505-da2b88b4bb10"/>
    <s v="57 316 7556912"/>
    <d v="2026-04-27T00:00:00"/>
    <s v="RAG"/>
    <b v="1"/>
    <n v="1"/>
    <d v="1899-12-30T17:43:00"/>
    <s v="Películas bélicas recomendadas"/>
    <s v="Películas bélicas recomendadas"/>
    <x v="0"/>
    <b v="1"/>
    <b v="0"/>
    <n v="3.1031499999999998E-3"/>
    <n v="5"/>
    <s v="Egypt: Secrets of the Pharaohs"/>
    <n v="0.15690000000000001"/>
    <n v="3"/>
    <n v="10"/>
    <s v="promoter"/>
    <s v="yes"/>
    <n v="3"/>
    <n v="1"/>
    <n v="1"/>
  </r>
  <r>
    <s v="770934d9-e76c-4c25-9439-2e7737d904da"/>
    <s v="57 301 5989061"/>
    <d v="2026-04-26T00:00:00"/>
    <s v="RAG"/>
    <b v="1"/>
    <n v="1"/>
    <d v="1899-12-30T23:14:00"/>
    <s v="una peli de narcos"/>
    <s v="una peli de narcos"/>
    <x v="0"/>
    <b v="1"/>
    <b v="0"/>
    <n v="7.8727499999999995E-3"/>
    <n v="5"/>
    <s v="Narcos: Mexico"/>
    <n v="0.42270000000000002"/>
    <n v="5"/>
    <n v="10"/>
    <s v="promoter"/>
    <s v="yes"/>
    <n v="3"/>
    <n v="1"/>
    <n v="1"/>
  </r>
  <r>
    <s v="af68ab28-0de6-4b6b-9173-8d013d17e19d"/>
    <s v="57 318 8069630"/>
    <d v="2026-04-26T00:00:00"/>
    <s v="DIRECT"/>
    <b v="0"/>
    <n v="1"/>
    <d v="1899-12-30T00:00:00"/>
    <s v="me gustan las romanticas"/>
    <s v="me gustan las romanticas"/>
    <x v="1"/>
    <b v="0"/>
    <b v="0"/>
    <n v="2.8796999999999998E-3"/>
    <n v="5"/>
    <s v="Along came Love"/>
    <n v="0.2959"/>
    <m/>
    <m/>
    <m/>
    <m/>
    <m/>
    <n v="1"/>
    <n v="0"/>
  </r>
  <r>
    <s v="af68ab28-0de6-4b6b-9173-8d013d17e19d"/>
    <s v="57 318 8069630"/>
    <d v="2026-04-26T00:00:00"/>
    <s v="DIRECT"/>
    <b v="0"/>
    <n v="2"/>
    <d v="1899-12-30T00:33:00"/>
    <s v="quiero una mas nueva"/>
    <s v="quiero una mas nueva"/>
    <x v="1"/>
    <b v="0"/>
    <b v="0"/>
    <n v="1.04774333333333E-2"/>
    <n v="5"/>
    <s v="Mama Drama"/>
    <n v="0.31230000000000002"/>
    <m/>
    <m/>
    <m/>
    <m/>
    <m/>
    <n v="1"/>
    <n v="0"/>
  </r>
  <r>
    <s v="c1a62ced-127f-4fae-8cd6-f60e12debcea"/>
    <s v="57 316 7556912"/>
    <d v="2026-04-26T00:00:00"/>
    <s v="RAG"/>
    <b v="1"/>
    <n v="1"/>
    <d v="1899-12-30T22:54:00"/>
    <s v="dame una pelicula de aliens"/>
    <s v="dame una pelicula de aliens"/>
    <x v="0"/>
    <b v="1"/>
    <b v="0"/>
    <n v="5.1792166666666598E-3"/>
    <n v="5"/>
    <s v="Jeff and Some Aliens"/>
    <n v="0.46129999999999999"/>
    <n v="5"/>
    <n v="10"/>
    <s v="promoter"/>
    <s v="yes"/>
    <n v="3"/>
    <n v="1"/>
    <n v="1"/>
  </r>
  <r>
    <s v="d4295c17-4d7b-4775-b73a-1890a6095b0e"/>
    <s v="57 313 3825915"/>
    <d v="2026-04-26T00:00:00"/>
    <s v="RAG"/>
    <b v="1"/>
    <n v="1"/>
    <d v="1899-12-30T00:07:00"/>
    <s v="recomendaciones para series o películas sobre el espacio en Netflix Disney o HBO actualmente estrenadas"/>
    <s v="recomendaciones para series o películas sobre el espacio en Netflix Disney o HBO actualmente estrenadas"/>
    <x v="0"/>
    <b v="1"/>
    <b v="0"/>
    <n v="4.7584666666666596E-3"/>
    <n v="5"/>
    <s v="True Story España"/>
    <n v="0.19819999999999999"/>
    <n v="2"/>
    <n v="7"/>
    <s v="passive"/>
    <s v="no"/>
    <n v="1"/>
    <n v="1"/>
    <n v="1"/>
  </r>
  <r>
    <s v="d4295c17-4d7b-4775-b73a-1890a6095b0e"/>
    <s v="57 313 3825915"/>
    <d v="2026-04-26T00:00:00"/>
    <s v="RAG"/>
    <b v="1"/>
    <n v="2"/>
    <d v="1899-12-30T00:18:00"/>
    <s v="recomendaciones de películas sobre el espacio, plataformas para ver"/>
    <s v="recomendaciones de películas sobre el espacio, plataformas para ver"/>
    <x v="0"/>
    <b v="1"/>
    <b v="1"/>
    <n v="5.1788833333333301E-3"/>
    <n v="1"/>
    <s v="El extraño retorno de Diana Salazar"/>
    <n v="0.1966"/>
    <n v="2"/>
    <n v="7"/>
    <s v="passive"/>
    <s v="no"/>
    <n v="1"/>
    <n v="1"/>
    <n v="1"/>
  </r>
  <r>
    <s v="d4295c17-4d7b-4775-b73a-1890a6095b0e"/>
    <s v="57 313 3825915"/>
    <d v="2026-04-26T00:00:00"/>
    <s v="RAG"/>
    <b v="1"/>
    <n v="3"/>
    <d v="1899-12-30T00:36:00"/>
    <s v="puedes darme mas contexto de la segunda opcion"/>
    <s v="puedes darme mas contexto de la segunda opcion"/>
    <x v="0"/>
    <b v="1"/>
    <b v="1"/>
    <n v="8.3526333333333296E-3"/>
    <n v="1"/>
    <s v="Cult Culture: The Poseidon Adventure"/>
    <n v="0.19400000000000001"/>
    <n v="2"/>
    <n v="7"/>
    <s v="passive"/>
    <s v="no"/>
    <n v="1"/>
    <n v="1"/>
    <n v="1"/>
  </r>
  <r>
    <s v="cef44b57-c8e8-4faa-b032-65d93ce27733"/>
    <s v="57 315 5918182"/>
    <d v="2026-04-22T00:00:00"/>
    <s v="DIRECT"/>
    <b v="0"/>
    <n v="1"/>
    <d v="1899-12-30T01:58:00"/>
    <s v="peliculas de abogados"/>
    <s v="peliculas de abogados"/>
    <x v="1"/>
    <b v="0"/>
    <b v="0"/>
    <n v="2.1966199999999901E-2"/>
    <n v="5"/>
    <s v="Bobobobs"/>
    <n v="0.20430000000000001"/>
    <m/>
    <m/>
    <m/>
    <m/>
    <m/>
    <n v="1"/>
    <n v="0"/>
  </r>
  <r>
    <s v="73e4f809-0f88-4b04-837a-4373beef28e0"/>
    <s v="57 312 7891299"/>
    <d v="2026-05-02T00:00:00"/>
    <s v="RAG"/>
    <b v="1"/>
    <n v="1"/>
    <d v="1899-12-30T03:36:00"/>
    <s v="películas de acción con mucha adrenalina"/>
    <s v="películas de acción con mucha adrenalina"/>
    <x v="0"/>
    <b v="1"/>
    <b v="0"/>
    <n v="4.0074999999999998E-3"/>
    <n v="5"/>
    <s v="Anche se è amore non si vede"/>
    <n v="0.2074"/>
    <m/>
    <m/>
    <m/>
    <m/>
    <m/>
    <n v="1"/>
    <n v="0"/>
  </r>
  <r>
    <s v="0a114f43-e48f-4ead-9505-da2b88b4bb10"/>
    <s v="57 316 7556912"/>
    <d v="2026-04-27T00:00:00"/>
    <s v="RAG"/>
    <b v="1"/>
    <n v="2"/>
    <d v="1899-12-30T17:56:00"/>
    <s v="recomienda algo parecido a avengers"/>
    <s v="recomienda algo parecido a avengers"/>
    <x v="0"/>
    <b v="1"/>
    <b v="0"/>
    <n v="1.0264333333333301E-2"/>
    <n v="5"/>
    <s v="Marvel's Avengers"/>
    <n v="0.4138"/>
    <n v="3"/>
    <n v="10"/>
    <s v="promoter"/>
    <s v="yes"/>
    <n v="3"/>
    <n v="1"/>
    <n v="1"/>
  </r>
  <r>
    <s v="695cd73f-1759-4d9d-afda-d0c12ab6d2a8"/>
    <s v="57 301 5989061"/>
    <d v="2026-04-22T00:00:00"/>
    <s v="DIRECT"/>
    <b v="0"/>
    <n v="1"/>
    <d v="1899-12-30T16:39:00"/>
    <s v="Películas de acción intensas y entretenidas"/>
    <s v="Películas de acción intensas y entretenidas"/>
    <x v="1"/>
    <b v="0"/>
    <b v="0"/>
    <n v="1.3822466666666601E-2"/>
    <n v="5"/>
    <s v="Cabrujas en el país del disimulo"/>
    <n v="8.4099999999999994E-2"/>
    <n v="5"/>
    <n v="7"/>
    <s v="passive"/>
    <s v="partial"/>
    <n v="2"/>
    <n v="1"/>
    <n v="1"/>
  </r>
  <r>
    <s v="1c4e963a-45f3-4c72-acf7-9525fe83c726"/>
    <s v="57 313 7650049"/>
    <d v="2026-04-27T00:00:00"/>
    <s v="DIRECT"/>
    <b v="0"/>
    <n v="1"/>
    <d v="1899-12-30T01:51:00"/>
    <s v="pelicula romantica"/>
    <s v="pelicula romantica"/>
    <x v="1"/>
    <b v="0"/>
    <b v="0"/>
    <n v="1.04559833333333E-2"/>
    <n v="5"/>
    <s v="Junjo Romantica"/>
    <n v="0.58450000000000002"/>
    <n v="5"/>
    <n v="10"/>
    <s v="promoter"/>
    <s v="yes"/>
    <n v="3"/>
    <n v="1"/>
    <n v="1"/>
  </r>
  <r>
    <s v="3cc54ddd-4b22-4cce-9cf9-faa7ef3f73a2"/>
    <s v="57 316 7556912"/>
    <d v="2026-04-27T00:00:00"/>
    <s v="RAG"/>
    <b v="1"/>
    <n v="1"/>
    <d v="1899-12-30T19:01:00"/>
    <s v="Documentales interesantes y recomendados"/>
    <s v="Documentales interesantes y recomendados"/>
    <x v="0"/>
    <b v="1"/>
    <b v="0"/>
    <n v="1.24563333333333E-2"/>
    <n v="5"/>
    <s v="Reyes de España"/>
    <n v="0.19400000000000001"/>
    <n v="5"/>
    <n v="10"/>
    <s v="promoter"/>
    <s v="yes"/>
    <n v="3"/>
    <n v="1"/>
    <n v="1"/>
  </r>
  <r>
    <s v="502a688a-ae4b-4cd7-9706-6cd3e7686e8c"/>
    <s v="57 316 7556912"/>
    <d v="2026-04-27T00:00:00"/>
    <s v="DIRECT"/>
    <b v="0"/>
    <n v="1"/>
    <d v="1899-12-30T23:32:00"/>
    <s v="recomiendame una pelicula como avatar"/>
    <s v="recomiendame una pelicula como avatar"/>
    <x v="1"/>
    <b v="0"/>
    <b v="0"/>
    <n v="3.4245333333333301E-3"/>
    <n v="5"/>
    <s v="Educando a Nina"/>
    <n v="0.27379999999999999"/>
    <n v="2"/>
    <n v="10"/>
    <s v="promoter"/>
    <s v="yes"/>
    <n v="3"/>
    <n v="1"/>
    <n v="1"/>
  </r>
  <r>
    <s v="502a688a-ae4b-4cd7-9706-6cd3e7686e8c"/>
    <s v="57 316 7556912"/>
    <d v="2026-04-27T00:00:00"/>
    <s v="DIRECT"/>
    <b v="0"/>
    <n v="2"/>
    <d v="1899-12-30T23:42:00"/>
    <s v="espanol"/>
    <s v="espanol"/>
    <x v="1"/>
    <b v="0"/>
    <b v="0"/>
    <n v="6.0088166666666604E-3"/>
    <n v="5"/>
    <s v="Spangles"/>
    <n v="0.43009999999999998"/>
    <n v="2"/>
    <n v="10"/>
    <s v="promoter"/>
    <s v="yes"/>
    <n v="3"/>
    <n v="1"/>
    <n v="1"/>
  </r>
  <r>
    <s v="7baa4d02-3eaf-40d6-8cf1-9fb53695da9f"/>
    <s v="57 317 8517661"/>
    <d v="2026-04-27T00:00:00"/>
    <s v="DIRECT"/>
    <b v="0"/>
    <n v="1"/>
    <d v="1899-12-30T18:56:00"/>
    <s v="peliculas de resiliencia"/>
    <s v="peliculas de resiliencia"/>
    <x v="1"/>
    <b v="0"/>
    <b v="0"/>
    <n v="1.12585666666666E-2"/>
    <n v="5"/>
    <s v="Juro que te amo"/>
    <n v="0.25530000000000003"/>
    <n v="3"/>
    <n v="10"/>
    <s v="promoter"/>
    <s v="no"/>
    <n v="1"/>
    <n v="1"/>
    <n v="1"/>
  </r>
  <r>
    <s v="7baa4d02-3eaf-40d6-8cf1-9fb53695da9f"/>
    <s v="57 317 8517661"/>
    <d v="2026-04-27T00:00:00"/>
    <s v="DIRECT"/>
    <b v="0"/>
    <n v="2"/>
    <d v="1899-12-30T21:35:00"/>
    <s v="o celda 07"/>
    <s v="o celda 07"/>
    <x v="1"/>
    <b v="0"/>
    <b v="0"/>
    <n v="3.2996333333333299E-3"/>
    <n v="5"/>
    <s v="The Impossible Heir"/>
    <n v="0.23150000000000001"/>
    <n v="3"/>
    <n v="10"/>
    <s v="promoter"/>
    <s v="no"/>
    <n v="1"/>
    <n v="1"/>
    <n v="1"/>
  </r>
  <r>
    <s v="7baa4d02-3eaf-40d6-8cf1-9fb53695da9f"/>
    <s v="57 317 8517661"/>
    <d v="2026-04-27T00:00:00"/>
    <s v="DIRECT"/>
    <b v="0"/>
    <n v="3"/>
    <d v="1899-12-30T21:44:00"/>
    <s v="milagro en la celda 7"/>
    <s v="milagro en la celda 7"/>
    <x v="1"/>
    <b v="0"/>
    <b v="0"/>
    <n v="3.7838833333333302E-3"/>
    <n v="5"/>
    <s v="The World's Gold"/>
    <n v="0.2157"/>
    <n v="3"/>
    <n v="10"/>
    <s v="promoter"/>
    <s v="no"/>
    <n v="1"/>
    <n v="1"/>
    <n v="1"/>
  </r>
  <r>
    <s v="87bb8727-fbc9-4034-95ea-5a95af9d48d0"/>
    <s v="57 316 7556912"/>
    <d v="2026-04-27T00:00:00"/>
    <s v="DIRECT"/>
    <b v="0"/>
    <n v="1"/>
    <d v="1899-12-30T18:10:00"/>
    <s v="una pelicula de batman de las primeras"/>
    <s v="una pelicula de batman de las primeras"/>
    <x v="1"/>
    <b v="0"/>
    <b v="0"/>
    <n v="3.6281666666666602E-3"/>
    <n v="5"/>
    <s v="Illiterate"/>
    <n v="0.33689999999999998"/>
    <n v="3"/>
    <n v="10"/>
    <s v="promoter"/>
    <s v="yes"/>
    <n v="3"/>
    <n v="1"/>
    <n v="1"/>
  </r>
  <r>
    <s v="87bb8727-fbc9-4034-95ea-5a95af9d48d0"/>
    <s v="57 316 7556912"/>
    <d v="2026-04-27T00:00:00"/>
    <s v="DIRECT"/>
    <b v="0"/>
    <n v="2"/>
    <d v="1899-12-30T18:18:00"/>
    <s v="peliculas y series de batman"/>
    <s v="peliculas y series de batman"/>
    <x v="1"/>
    <b v="0"/>
    <b v="0"/>
    <n v="5.4291666666666603E-3"/>
    <n v="5"/>
    <s v="Batman Beyond"/>
    <n v="0.45669999999999999"/>
    <n v="3"/>
    <n v="10"/>
    <s v="promoter"/>
    <s v="yes"/>
    <n v="3"/>
    <n v="1"/>
    <n v="1"/>
  </r>
  <r>
    <s v="c5ff782e-a3d3-42d0-aa73-580ec74e9ac8"/>
    <s v="57 317 8517661"/>
    <d v="2026-04-27T00:00:00"/>
    <s v="RAG"/>
    <b v="1"/>
    <n v="1"/>
    <d v="1899-12-30T01:20:00"/>
    <s v="serie como diario de vampiros"/>
    <s v="serie como diario de vampiros"/>
    <x v="0"/>
    <b v="1"/>
    <b v="0"/>
    <n v="8.5480833333333294E-3"/>
    <n v="5"/>
    <s v="Mama Drama"/>
    <n v="0.41489999999999999"/>
    <n v="5"/>
    <n v="10"/>
    <s v="promoter"/>
    <s v="yes"/>
    <n v="3"/>
    <n v="1"/>
    <n v="1"/>
  </r>
  <r>
    <s v="537468d6-ddb1-4443-a6ae-0cd691b3c0a0"/>
    <s v="57 315 0186808"/>
    <d v="2026-05-02T00:00:00"/>
    <s v="DIRECT"/>
    <b v="0"/>
    <n v="1"/>
    <d v="1899-12-30T02:48:00"/>
    <s v="películas de ciencia ficción con viajes en el tiempo"/>
    <s v="películas de ciencia ficción con viajes en el tiempo"/>
    <x v="1"/>
    <b v="0"/>
    <b v="0"/>
    <n v="3.9207999999999899E-3"/>
    <n v="5"/>
    <s v="Project Almanac"/>
    <n v="0.3931"/>
    <m/>
    <m/>
    <m/>
    <m/>
    <m/>
    <n v="1"/>
    <n v="0"/>
  </r>
  <r>
    <s v="e9478ce7-e337-41fb-ac40-3cdac9feb543"/>
    <n v="51985738333"/>
    <d v="2026-04-27T00:00:00"/>
    <s v="RAG"/>
    <b v="1"/>
    <n v="2"/>
    <d v="1899-12-30T00:57:00"/>
    <s v="que info necesitas"/>
    <s v="que info necesitas"/>
    <x v="0"/>
    <b v="1"/>
    <b v="0"/>
    <n v="5.6735500000000003E-3"/>
    <n v="5"/>
    <s v="Juro que te amo"/>
    <n v="0.46810000000000002"/>
    <n v="5"/>
    <n v="10"/>
    <s v="promoter"/>
    <s v="partial"/>
    <n v="2"/>
    <n v="1"/>
    <n v="1"/>
  </r>
  <r>
    <s v="e9478ce7-e337-41fb-ac40-3cdac9feb543"/>
    <n v="51985738333"/>
    <d v="2026-04-27T00:00:00"/>
    <s v="RAG"/>
    <b v="1"/>
    <n v="3"/>
    <d v="1899-12-30T01:10:00"/>
    <s v="Películas dramáticas emocionales"/>
    <s v="Películas dramáticas emocionales"/>
    <x v="0"/>
    <b v="1"/>
    <b v="0"/>
    <n v="9.1860666666666608E-3"/>
    <n v="5"/>
    <s v="Sweetheart"/>
    <n v="0.21959999999999999"/>
    <n v="5"/>
    <n v="10"/>
    <s v="promoter"/>
    <s v="partial"/>
    <n v="2"/>
    <n v="1"/>
    <n v="1"/>
  </r>
  <r>
    <s v="ec221071-b24b-46f5-bbfd-c9bb9c2d4cb1"/>
    <s v="57 313 3825915"/>
    <d v="2026-04-27T00:00:00"/>
    <s v="DIRECT"/>
    <b v="0"/>
    <n v="1"/>
    <d v="1899-12-30T00:54:00"/>
    <s v="cuales sin los proximos estrenos en cine"/>
    <s v="cuales sin los proximos estrenos en cine"/>
    <x v="1"/>
    <b v="0"/>
    <b v="0"/>
    <n v="4.4292666666666597E-3"/>
    <n v="5"/>
    <s v="Illiterate"/>
    <n v="0.41589999999999999"/>
    <m/>
    <m/>
    <m/>
    <m/>
    <m/>
    <n v="1"/>
    <n v="0"/>
  </r>
  <r>
    <s v="f5a4622b-7651-4ed2-a2db-4a16b01f5768"/>
    <s v="57 316 7556912"/>
    <d v="2026-04-27T00:00:00"/>
    <s v="DIRECT"/>
    <b v="0"/>
    <n v="1"/>
    <d v="1899-12-30T01:24:00"/>
    <s v="dame una serie parecida a friends"/>
    <s v="dame una serie parecida a friends"/>
    <x v="1"/>
    <b v="0"/>
    <b v="0"/>
    <n v="1.07619333333333E-2"/>
    <n v="5"/>
    <s v="Mama Drama"/>
    <n v="0.51290000000000002"/>
    <n v="2"/>
    <n v="10"/>
    <s v="promoter"/>
    <s v="partial"/>
    <n v="2"/>
    <n v="1"/>
    <n v="1"/>
  </r>
  <r>
    <s v="fb223186-ddc0-44c2-8967-580c6b82256e"/>
    <s v="57 316 7556912"/>
    <d v="2026-04-27T00:00:00"/>
    <s v="RAG"/>
    <b v="1"/>
    <n v="1"/>
    <d v="1899-12-30T18:42:00"/>
    <s v="recomienda peliculas de videojuegos"/>
    <s v="recomienda peliculas de videojuegos"/>
    <x v="0"/>
    <b v="1"/>
    <b v="0"/>
    <n v="5.4590000000000003E-3"/>
    <n v="5"/>
    <s v="Jailer Unlocked"/>
    <n v="0.24829999999999999"/>
    <n v="5"/>
    <n v="7"/>
    <s v="passive"/>
    <s v="no"/>
    <n v="1"/>
    <n v="1"/>
    <n v="1"/>
  </r>
  <r>
    <s v="5009b64e-830a-4ea2-8262-024f0632aa98"/>
    <s v="57 316 7556912"/>
    <d v="2026-04-28T00:00:00"/>
    <s v="RAG"/>
    <b v="1"/>
    <n v="1"/>
    <d v="1899-12-30T17:48:00"/>
    <s v="anime"/>
    <s v="anime"/>
    <x v="0"/>
    <b v="1"/>
    <b v="0"/>
    <n v="5.7222833333333296E-3"/>
    <n v="5"/>
    <s v="Annie"/>
    <n v="0.45279999999999998"/>
    <n v="5"/>
    <n v="10"/>
    <s v="promoter"/>
    <s v="yes"/>
    <n v="3"/>
    <n v="1"/>
    <n v="1"/>
  </r>
  <r>
    <s v="7d7e081f-b306-4b87-9fe3-e0081a55db25"/>
    <s v="57 316 7556912"/>
    <d v="2026-04-28T00:00:00"/>
    <s v="RAG"/>
    <b v="1"/>
    <n v="1"/>
    <d v="1899-12-30T00:36:00"/>
    <s v="recomiendame algo del estilo de demon slayer"/>
    <s v="recomiendame algo del estilo de demon slayer"/>
    <x v="0"/>
    <b v="1"/>
    <b v="0"/>
    <n v="2.85125E-2"/>
    <n v="5"/>
    <s v="Demon Slayer: Kimetsu no Yaiba Infinity Castle"/>
    <n v="0.46079999999999999"/>
    <n v="5"/>
    <n v="10"/>
    <s v="promoter"/>
    <s v="yes"/>
    <n v="3"/>
    <n v="1"/>
    <n v="1"/>
  </r>
  <r>
    <s v="d8c60a58-88c4-4612-9695-7b38273448d6"/>
    <s v="57 316 7556912"/>
    <d v="2026-04-28T00:00:00"/>
    <s v="DIRECT"/>
    <b v="0"/>
    <n v="1"/>
    <d v="1899-12-30T21:46:00"/>
    <s v="algo parecido a your name"/>
    <s v="algo parecido a your name"/>
    <x v="1"/>
    <b v="0"/>
    <b v="0"/>
    <n v="6.1042166666666602E-3"/>
    <n v="5"/>
    <s v="We Are Who We Are"/>
    <n v="0.39329999999999998"/>
    <n v="5"/>
    <n v="10"/>
    <s v="promoter"/>
    <s v="yes"/>
    <n v="3"/>
    <n v="1"/>
    <n v="1"/>
  </r>
  <r>
    <s v="073fc00a-e957-4973-aa12-1b018e2ed4fd"/>
    <s v="57 323 3114869"/>
    <d v="2026-04-29T00:00:00"/>
    <s v="DIRECT"/>
    <b v="0"/>
    <n v="1"/>
    <d v="1899-12-30T21:24:00"/>
    <s v="quiero ver una pelicula similar a perfect blue"/>
    <s v="quiero ver una pelicula similar a perfect blue"/>
    <x v="1"/>
    <b v="0"/>
    <b v="0"/>
    <n v="1.153875E-2"/>
    <n v="5"/>
    <s v="Blue Moon"/>
    <n v="0.32879999999999998"/>
    <m/>
    <m/>
    <m/>
    <m/>
    <m/>
    <n v="1"/>
    <n v="0"/>
  </r>
  <r>
    <s v="10a67857-fb0e-494c-a5c6-31fb8330e5ab"/>
    <s v="57 301 5866204"/>
    <d v="2026-04-29T00:00:00"/>
    <s v="DIRECT"/>
    <b v="0"/>
    <n v="1"/>
    <d v="1899-12-30T23:11:00"/>
    <s v="me puedes recomendar peliculas coreanas"/>
    <s v="me puedes recomendar peliculas coreanas"/>
    <x v="1"/>
    <b v="0"/>
    <b v="0"/>
    <n v="1.12792166666666E-2"/>
    <n v="5"/>
    <s v="Illiterate"/>
    <n v="0.23419999999999999"/>
    <m/>
    <m/>
    <m/>
    <m/>
    <m/>
    <n v="1"/>
    <n v="0"/>
  </r>
  <r>
    <s v="1c71a0c6-dc14-4bc0-9460-ece0fad54bbb"/>
    <s v="57 321 9765438"/>
    <d v="2026-04-29T00:00:00"/>
    <s v="DIRECT"/>
    <b v="0"/>
    <n v="1"/>
    <d v="1899-12-30T22:18:00"/>
    <s v="pelicula de intriga"/>
    <s v="pelicula de intriga"/>
    <x v="1"/>
    <b v="0"/>
    <b v="0"/>
    <n v="1.037385E-2"/>
    <n v="5"/>
    <s v="Guante blanco"/>
    <n v="0.2321"/>
    <m/>
    <m/>
    <m/>
    <m/>
    <m/>
    <n v="1"/>
    <n v="0"/>
  </r>
  <r>
    <s v="1ce3c66c-1560-4db9-9b77-d1921659e5e9"/>
    <s v="57 300 2275418"/>
    <d v="2026-04-29T00:00:00"/>
    <s v="DIRECT"/>
    <b v="0"/>
    <n v="1"/>
    <d v="1899-12-30T20:13:00"/>
    <s v="peliculas del mismo tono que interestellar"/>
    <s v="peliculas del mismo tono que interestellar"/>
    <x v="1"/>
    <b v="0"/>
    <b v="0"/>
    <n v="1.20814166666666E-2"/>
    <n v="5"/>
    <s v="Juro que te amo"/>
    <n v="0.45319999999999999"/>
    <m/>
    <m/>
    <m/>
    <m/>
    <m/>
    <n v="1"/>
    <n v="0"/>
  </r>
  <r>
    <s v="2464fa3c-3c02-4304-9012-3d02423ae1b0"/>
    <s v="57 320 3286843"/>
    <d v="2026-04-29T00:00:00"/>
    <s v="RAG"/>
    <b v="1"/>
    <n v="1"/>
    <d v="1899-12-30T19:47:00"/>
    <s v="peliculas de degeneracion humana"/>
    <s v="peliculas de degeneracion humana"/>
    <x v="0"/>
    <b v="1"/>
    <b v="0"/>
    <n v="1.0300833333333301E-2"/>
    <n v="5"/>
    <s v="Mama Drama"/>
    <n v="0.22420000000000001"/>
    <n v="5"/>
    <n v="10"/>
    <s v="promoter"/>
    <s v="partial"/>
    <n v="2"/>
    <n v="1"/>
    <n v="1"/>
  </r>
  <r>
    <s v="2464fa3c-3c02-4304-9012-3d02423ae1b0"/>
    <s v="57 320 3286843"/>
    <d v="2026-04-29T00:00:00"/>
    <s v="RAG"/>
    <b v="1"/>
    <n v="2"/>
    <d v="1899-12-30T20:08:00"/>
    <s v="dame entonces una recomendacion de peliculas de dictadores"/>
    <s v="dame entonces una recomendacion de peliculas de dictadores"/>
    <x v="0"/>
    <b v="1"/>
    <b v="0"/>
    <n v="9.2579499999999992E-3"/>
    <n v="5"/>
    <s v="Fenómenos"/>
    <n v="0.20660000000000001"/>
    <n v="5"/>
    <n v="10"/>
    <s v="promoter"/>
    <s v="partial"/>
    <n v="2"/>
    <n v="1"/>
    <n v="1"/>
  </r>
  <r>
    <s v="5b22a031-70f0-4090-877c-5d8436b15f04"/>
    <s v="57 320 4638760"/>
    <d v="2026-04-22T00:00:00"/>
    <s v="DIRECT"/>
    <b v="0"/>
    <n v="1"/>
    <d v="1899-12-30T01:25:00"/>
    <s v="Películas de ciencia ficción populares"/>
    <s v="Películas de ciencia ficción populares"/>
    <x v="1"/>
    <b v="0"/>
    <b v="0"/>
    <n v="2.3229216666666601E-2"/>
    <n v="5"/>
    <s v="Cristóbal Balenciaga"/>
    <n v="0.1195"/>
    <n v="5"/>
    <n v="10"/>
    <s v="promoter"/>
    <s v="yes"/>
    <n v="3"/>
    <n v="1"/>
    <n v="1"/>
  </r>
  <r>
    <s v="3223183e-56ba-4d14-b802-9ff82af15fab"/>
    <s v="57 318 8474215"/>
    <d v="2026-04-29T00:00:00"/>
    <s v="RAG"/>
    <b v="1"/>
    <n v="3"/>
    <d v="1899-12-30T18:23:00"/>
    <s v="muchas gracias"/>
    <s v="muchas gracias"/>
    <x v="0"/>
    <b v="1"/>
    <b v="0"/>
    <n v="4.00013333333333E-3"/>
    <n v="5"/>
    <s v="A World of Ours"/>
    <n v="0.34139999999999998"/>
    <n v="5"/>
    <n v="10"/>
    <s v="promoter"/>
    <s v="partial"/>
    <n v="2"/>
    <n v="1"/>
    <n v="1"/>
  </r>
  <r>
    <s v="40cf9414-6b0c-4b55-a80f-7e205d1fcf91"/>
    <s v="57 312 5489784"/>
    <d v="2026-04-22T00:00:00"/>
    <s v="RAG"/>
    <b v="1"/>
    <n v="1"/>
    <d v="1899-12-30T19:16:00"/>
    <s v="Películas de comedia divertidas"/>
    <s v="Películas de comedia divertidas"/>
    <x v="0"/>
    <b v="1"/>
    <b v="0"/>
    <n v="1.6808049999999901E-2"/>
    <n v="5"/>
    <s v="Pelé: Birth of a Legend"/>
    <n v="5.4800000000000001E-2"/>
    <n v="2"/>
    <n v="3"/>
    <s v="detractor"/>
    <s v="no"/>
    <n v="1"/>
    <n v="1"/>
    <n v="1"/>
  </r>
  <r>
    <s v="3b850703-b59c-4846-a938-4c7c8e5ca215"/>
    <s v="57 300 5728843"/>
    <d v="2026-04-29T00:00:00"/>
    <s v="RAG"/>
    <b v="1"/>
    <n v="1"/>
    <d v="1899-12-30T22:05:00"/>
    <s v="recomendacion de pelicula de ficcion"/>
    <s v="recomendacion de pelicula de ficcion"/>
    <x v="0"/>
    <b v="1"/>
    <b v="0"/>
    <n v="1.392E-2"/>
    <n v="5"/>
    <s v="Anche se è amore non si vede"/>
    <n v="0.25890000000000002"/>
    <m/>
    <m/>
    <m/>
    <m/>
    <m/>
    <n v="1"/>
    <n v="0"/>
  </r>
  <r>
    <s v="3fc204ab-0bf0-4e72-b4ce-c69dcff04760"/>
    <s v="57 300 5179249"/>
    <d v="2026-04-29T00:00:00"/>
    <s v="RAG"/>
    <b v="1"/>
    <n v="1"/>
    <d v="1899-12-30T19:57:00"/>
    <s v="necesito ver algo sobre cine expresionista europeo de la segunda mitad de la primera mitad del siglo 20 toma como referente a personajes como murnau"/>
    <s v="necesito ver algo sobre cine expresionista europeo de la segunda mitad de la primera mitad del siglo 20 toma como referente a personajes como murnau"/>
    <x v="0"/>
    <b v="1"/>
    <b v="0"/>
    <n v="1.333515E-2"/>
    <n v="5"/>
    <s v="Illiterate"/>
    <n v="0.2903"/>
    <n v="3"/>
    <n v="10"/>
    <s v="promoter"/>
    <s v="partial"/>
    <n v="2"/>
    <n v="1"/>
    <n v="1"/>
  </r>
  <r>
    <s v="54f77d3d-64d9-4962-a72c-2caafa319706"/>
    <s v="57 313 2240870"/>
    <d v="2026-04-29T00:00:00"/>
    <s v="DIRECT"/>
    <b v="0"/>
    <n v="1"/>
    <d v="1899-12-30T22:47:00"/>
    <s v="Películas de fantasía épicas"/>
    <s v="Películas de fantasía épicas"/>
    <x v="1"/>
    <b v="0"/>
    <b v="0"/>
    <n v="9.2239333333333298E-3"/>
    <n v="5"/>
    <s v="Muchachos, la película de la gente"/>
    <n v="0.24909999999999999"/>
    <m/>
    <m/>
    <m/>
    <m/>
    <m/>
    <n v="1"/>
    <n v="0"/>
  </r>
  <r>
    <s v="56135232-1260-4d42-b088-b968caff3fca"/>
    <s v="57 315 6242969"/>
    <d v="2026-05-02T00:00:00"/>
    <s v="DIRECT"/>
    <b v="0"/>
    <n v="1"/>
    <d v="1899-12-30T04:02:00"/>
    <s v="películas de fantasía con magia"/>
    <s v="películas de fantasía con magia"/>
    <x v="1"/>
    <b v="0"/>
    <b v="0"/>
    <n v="3.4765666666666602E-3"/>
    <n v="5"/>
    <s v="The Metropolitan Opera: Puccini's La Rondine"/>
    <n v="0.31140000000000001"/>
    <m/>
    <m/>
    <m/>
    <m/>
    <m/>
    <n v="1"/>
    <n v="0"/>
  </r>
  <r>
    <s v="9f672592-f854-4946-a176-fe270095ef87"/>
    <s v="57 316 5436490"/>
    <d v="2026-04-29T00:00:00"/>
    <s v="DIRECT"/>
    <b v="0"/>
    <n v="1"/>
    <d v="1899-12-30T19:35:00"/>
    <s v="hola cinemate quien actuo en inglorious bastards como hans landa"/>
    <s v="hola cinemate quien actuo en inglorious bastards como hans landa"/>
    <x v="1"/>
    <b v="0"/>
    <b v="0"/>
    <n v="1.4733483333333301E-2"/>
    <n v="5"/>
    <s v="Three Tough Guys"/>
    <n v="0.26469999999999999"/>
    <m/>
    <m/>
    <m/>
    <m/>
    <m/>
    <n v="1"/>
    <n v="0"/>
  </r>
  <r>
    <s v="c0c52792-6615-4ca6-a249-3403be4294a0"/>
    <s v="57 315 0717770"/>
    <d v="2026-04-29T00:00:00"/>
    <s v="RAG"/>
    <b v="1"/>
    <n v="1"/>
    <d v="1899-12-30T21:02:00"/>
    <s v="peliculas animadas"/>
    <s v="peliculas animadas"/>
    <x v="0"/>
    <b v="1"/>
    <b v="0"/>
    <n v="4.9562166666666596E-3"/>
    <n v="5"/>
    <s v="B-PROJECT"/>
    <n v="0.249"/>
    <n v="5"/>
    <n v="10"/>
    <s v="promoter"/>
    <s v="yes"/>
    <n v="3"/>
    <n v="1"/>
    <n v="1"/>
  </r>
  <r>
    <s v="c64c1c4e-2c9d-4916-b4ff-4951a3344dfa"/>
    <s v="57 320 2017839"/>
    <d v="2026-04-29T00:00:00"/>
    <s v="RAG"/>
    <b v="1"/>
    <n v="1"/>
    <d v="1899-12-30T22:26:00"/>
    <s v="peliculas consideradas de culto"/>
    <s v="peliculas consideradas de culto"/>
    <x v="0"/>
    <b v="1"/>
    <b v="0"/>
    <n v="1.620895E-2"/>
    <n v="5"/>
    <s v="The Chosen One"/>
    <n v="0.28799999999999998"/>
    <m/>
    <m/>
    <m/>
    <m/>
    <m/>
    <n v="1"/>
    <n v="0"/>
  </r>
  <r>
    <s v="59b6a6da-47f5-41ad-8a55-1d6b26d6e9b6"/>
    <s v="57 350 4331557"/>
    <d v="2026-04-29T00:00:00"/>
    <s v="RAG"/>
    <b v="1"/>
    <n v="1"/>
    <d v="1899-12-30T23:08:00"/>
    <s v="Películas de suspenso intensas"/>
    <s v="Películas de suspenso intensas"/>
    <x v="0"/>
    <b v="1"/>
    <b v="0"/>
    <n v="9.5167166666666608E-3"/>
    <n v="5"/>
    <s v="The World's Gold"/>
    <n v="0.17530000000000001"/>
    <m/>
    <m/>
    <m/>
    <m/>
    <m/>
    <n v="1"/>
    <n v="0"/>
  </r>
  <r>
    <s v="c86791f7-2d87-4988-b240-589e6433359a"/>
    <s v="57 310 4772882"/>
    <d v="2026-04-29T00:00:00"/>
    <s v="DIRECT"/>
    <b v="0"/>
    <n v="2"/>
    <d v="1899-12-30T00:24:00"/>
    <s v="nambre"/>
    <s v="nambre"/>
    <x v="1"/>
    <b v="0"/>
    <b v="0"/>
    <n v="3.6241200000000001E-2"/>
    <n v="5"/>
    <s v="Amber"/>
    <n v="0.46"/>
    <m/>
    <m/>
    <m/>
    <m/>
    <m/>
    <n v="1"/>
    <n v="0"/>
  </r>
  <r>
    <s v="cdd8cdaf-9cd2-474f-95c4-01440caf608f"/>
    <s v="57 313 4595678"/>
    <d v="2026-04-29T00:00:00"/>
    <s v="RAG"/>
    <b v="1"/>
    <n v="1"/>
    <d v="1899-12-30T22:53:00"/>
    <s v="Películas musicales populares"/>
    <s v="Películas musicales populares"/>
    <x v="0"/>
    <b v="1"/>
    <b v="0"/>
    <n v="1.4289983333333299E-2"/>
    <n v="5"/>
    <s v="Kally's Mashup"/>
    <n v="0.28360000000000002"/>
    <n v="3"/>
    <n v="10"/>
    <s v="promoter"/>
    <s v="partial"/>
    <n v="2"/>
    <n v="1"/>
    <n v="1"/>
  </r>
  <r>
    <s v="cdd8cdaf-9cd2-474f-95c4-01440caf608f"/>
    <s v="57 313 4595678"/>
    <d v="2026-04-29T00:00:00"/>
    <s v="RAG"/>
    <b v="1"/>
    <n v="2"/>
    <d v="1899-12-30T23:38:00"/>
    <s v="rock"/>
    <s v="rock"/>
    <x v="0"/>
    <b v="1"/>
    <b v="0"/>
    <n v="1.52777333333333E-2"/>
    <n v="5"/>
    <s v="Rocky"/>
    <n v="0.52180000000000004"/>
    <n v="3"/>
    <n v="10"/>
    <s v="promoter"/>
    <s v="partial"/>
    <n v="2"/>
    <n v="1"/>
    <n v="1"/>
  </r>
  <r>
    <s v="d06c1763-b499-4d31-946f-2931dc9c1b33"/>
    <s v="57 314 4595434"/>
    <d v="2026-04-29T00:00:00"/>
    <s v="DIRECT"/>
    <b v="0"/>
    <n v="1"/>
    <d v="1899-12-30T22:32:00"/>
    <s v="ficcion"/>
    <s v="ficcion"/>
    <x v="1"/>
    <b v="0"/>
    <b v="0"/>
    <n v="1.84718833333333E-2"/>
    <n v="5"/>
    <s v="Fixation"/>
    <n v="0.43890000000000001"/>
    <n v="5"/>
    <n v="10"/>
    <s v="promoter"/>
    <s v="yes"/>
    <n v="3"/>
    <n v="1"/>
    <n v="1"/>
  </r>
  <r>
    <s v="d3da3400-510f-45cf-a461-bcfcc24686b6"/>
    <s v="57 302 5203977"/>
    <d v="2026-04-29T00:00:00"/>
    <s v="RAG"/>
    <b v="1"/>
    <n v="1"/>
    <d v="1899-12-30T19:31:00"/>
    <s v="algo parecido a dune"/>
    <s v="algo parecido a dune"/>
    <x v="0"/>
    <b v="1"/>
    <b v="0"/>
    <n v="1.2544700000000001E-2"/>
    <n v="5"/>
    <s v="The Great Escapists"/>
    <n v="0.28170000000000001"/>
    <n v="5"/>
    <n v="10"/>
    <s v="promoter"/>
    <s v="yes"/>
    <n v="3"/>
    <n v="1"/>
    <n v="1"/>
  </r>
  <r>
    <s v="f3e9b0d2-e484-4a8e-81ef-c173d4f649ab"/>
    <s v="57 301 2920698"/>
    <d v="2026-04-29T00:00:00"/>
    <s v="RAG"/>
    <b v="1"/>
    <n v="1"/>
    <d v="1899-12-30T21:30:00"/>
    <s v="severance serie from serie"/>
    <s v="severance serie from serie"/>
    <x v="0"/>
    <b v="1"/>
    <b v="0"/>
    <n v="1.5307516666666601E-2"/>
    <n v="5"/>
    <s v="Mama Drama"/>
    <n v="0.43340000000000001"/>
    <m/>
    <m/>
    <m/>
    <m/>
    <m/>
    <n v="1"/>
    <n v="0"/>
  </r>
  <r>
    <s v="018bd500-cfad-4f2e-be92-f00b6a97f914"/>
    <s v="57 317 1787521"/>
    <d v="2026-05-02T00:00:00"/>
    <s v="DIRECT"/>
    <b v="0"/>
    <n v="1"/>
    <d v="1899-12-30T07:48:00"/>
    <s v="películas de aventura épica"/>
    <s v="películas de aventura épica"/>
    <x v="1"/>
    <b v="0"/>
    <b v="0"/>
    <n v="3.8293833333333301E-3"/>
    <n v="5"/>
    <s v="Egypt: Secrets of the Pharaohs"/>
    <n v="0.20319999999999999"/>
    <m/>
    <m/>
    <m/>
    <m/>
    <m/>
    <n v="1"/>
    <n v="0"/>
  </r>
  <r>
    <s v="022cd6bf-4c6e-40c2-a956-ff0002089c2f"/>
    <s v="57 315 6257476"/>
    <d v="2026-05-02T00:00:00"/>
    <s v="DIRECT"/>
    <b v="0"/>
    <n v="1"/>
    <d v="1899-12-30T14:19:00"/>
    <s v="me gustó Gravity, algo parecido"/>
    <s v="me gustó Gravity, algo parecido"/>
    <x v="1"/>
    <b v="0"/>
    <b v="0"/>
    <n v="5.3630333333333302E-3"/>
    <n v="5"/>
    <s v="Bharathan Effect"/>
    <n v="0.25879999999999997"/>
    <m/>
    <m/>
    <m/>
    <m/>
    <m/>
    <n v="1"/>
    <n v="0"/>
  </r>
  <r>
    <s v="023b5b5d-ffb5-479e-b5c2-946af1a8407f"/>
    <s v="57 317 4588659"/>
    <d v="2026-05-02T00:00:00"/>
    <s v="DIRECT"/>
    <b v="0"/>
    <n v="1"/>
    <d v="1899-12-30T20:56:00"/>
    <s v="acción con superhéroes pero más seria"/>
    <s v="acción con superhéroes pero más seria"/>
    <x v="1"/>
    <b v="0"/>
    <b v="0"/>
    <n v="6.37766666666666E-3"/>
    <n v="5"/>
    <s v="Anche se è amore non si vede"/>
    <n v="0.29149999999999998"/>
    <m/>
    <m/>
    <m/>
    <m/>
    <m/>
    <n v="1"/>
    <n v="0"/>
  </r>
  <r>
    <s v="02d32c7b-9cba-4722-829b-5b1658643d2b"/>
    <s v="57 313 1238842"/>
    <d v="2026-05-02T00:00:00"/>
    <s v="DIRECT"/>
    <b v="0"/>
    <n v="1"/>
    <d v="1899-12-30T19:21:00"/>
    <s v="terror psicológico con pocos personajes y ambiente cerrado"/>
    <s v="terror psicológico con pocos personajes y ambiente cerrado"/>
    <x v="1"/>
    <b v="0"/>
    <b v="0"/>
    <n v="3.41605666666666E-2"/>
    <n v="5"/>
    <s v="Utusan Iblis: Dia Yang Berada di Antara Kita"/>
    <n v="0.33239999999999997"/>
    <m/>
    <m/>
    <m/>
    <m/>
    <m/>
    <n v="1"/>
    <n v="0"/>
  </r>
  <r>
    <s v="05f18ee5-0f82-46e6-858d-70869118f388"/>
    <s v="57 318 0198010"/>
    <d v="2026-05-02T00:00:00"/>
    <s v="RAG"/>
    <b v="1"/>
    <n v="1"/>
    <d v="1899-12-30T15:57:00"/>
    <s v="películas tipo Top Gun"/>
    <s v="películas tipo Top Gun"/>
    <x v="0"/>
    <b v="1"/>
    <b v="0"/>
    <n v="5.2074999999999899E-3"/>
    <n v="5"/>
    <s v="Aquile"/>
    <n v="0.41970000000000002"/>
    <m/>
    <m/>
    <m/>
    <m/>
    <m/>
    <n v="1"/>
    <n v="0"/>
  </r>
  <r>
    <s v="07e5c2c6-ebdb-4305-933e-4d5e6af4d33b"/>
    <s v="57 313 4452642"/>
    <d v="2026-05-02T00:00:00"/>
    <s v="RAG"/>
    <b v="1"/>
    <n v="1"/>
    <d v="1899-12-30T05:40:00"/>
    <s v="películas de misterio con giros inesperados"/>
    <s v="películas de misterio con giros inesperados"/>
    <x v="0"/>
    <b v="1"/>
    <b v="0"/>
    <n v="5.75623333333333E-3"/>
    <n v="5"/>
    <s v="Illiterate"/>
    <n v="0.2873"/>
    <m/>
    <m/>
    <m/>
    <m/>
    <m/>
    <n v="1"/>
    <n v="0"/>
  </r>
  <r>
    <s v="07f8e19b-0596-46fc-ab56-24aaf2410d24"/>
    <s v="57 316 3969171"/>
    <d v="2026-05-02T00:00:00"/>
    <s v="DIRECT"/>
    <b v="0"/>
    <n v="1"/>
    <d v="1899-12-30T16:30:00"/>
    <s v="películas tipo Indiana Jones"/>
    <s v="películas tipo Indiana Jones"/>
    <x v="1"/>
    <b v="0"/>
    <b v="0"/>
    <n v="1.08484999999999E-2"/>
    <n v="5"/>
    <s v="La muerte de un gallero"/>
    <n v="0.217"/>
    <m/>
    <m/>
    <m/>
    <m/>
    <m/>
    <n v="1"/>
    <n v="0"/>
  </r>
  <r>
    <s v="0819aab1-edc7-4e93-acc4-fdebde5fd1ad"/>
    <s v="57 315 4847212"/>
    <d v="2026-05-02T00:00:00"/>
    <s v="DIRECT"/>
    <b v="0"/>
    <n v="1"/>
    <d v="1899-12-30T23:03:00"/>
    <s v="terror psicológico con final inesperado"/>
    <s v="terror psicológico con final inesperado"/>
    <x v="1"/>
    <b v="0"/>
    <b v="0"/>
    <n v="1.529935E-2"/>
    <n v="5"/>
    <s v="Utusan Iblis: Dia Yang Berada di Antara Kita"/>
    <n v="0.35370000000000001"/>
    <m/>
    <m/>
    <m/>
    <m/>
    <m/>
    <n v="1"/>
    <n v="0"/>
  </r>
  <r>
    <s v="0907057a-293c-4367-a22e-5fafeb376a72"/>
    <s v="57 312 1727943"/>
    <d v="2026-05-02T00:00:00"/>
    <s v="DIRECT"/>
    <b v="0"/>
    <n v="1"/>
    <d v="1899-12-30T16:06:00"/>
    <s v="me gustó Mission Impossible, algo similar"/>
    <s v="me gustó Mission Impossible, algo similar"/>
    <x v="1"/>
    <b v="0"/>
    <b v="0"/>
    <n v="6.8498999999999999E-3"/>
    <n v="5"/>
    <s v="Laser Mission"/>
    <n v="0.4405"/>
    <m/>
    <m/>
    <m/>
    <m/>
    <m/>
    <n v="1"/>
    <n v="0"/>
  </r>
  <r>
    <s v="0b1ea98b-6625-4d83-8de8-e2e754b175d4"/>
    <s v="57 319 8008108"/>
    <d v="2026-05-02T00:00:00"/>
    <s v="DIRECT"/>
    <b v="0"/>
    <n v="1"/>
    <d v="1899-12-30T05:16:00"/>
    <s v="terror con posesiones"/>
    <s v="terror con posesiones"/>
    <x v="1"/>
    <b v="0"/>
    <b v="0"/>
    <n v="5.9909500000000001E-3"/>
    <n v="5"/>
    <s v="Ercole in Polesine"/>
    <n v="0.45800000000000002"/>
    <m/>
    <m/>
    <m/>
    <m/>
    <m/>
    <n v="1"/>
    <n v="0"/>
  </r>
  <r>
    <s v="0c0e096e-51b5-4a81-be8a-0140c5a11a09"/>
    <s v="57 314 0752520"/>
    <d v="2026-05-02T00:00:00"/>
    <s v="RAG"/>
    <b v="1"/>
    <n v="1"/>
    <d v="1899-12-30T23:49:00"/>
    <s v="romance emocional con final bonito"/>
    <s v="romance emocional con final bonito"/>
    <x v="0"/>
    <b v="1"/>
    <b v="0"/>
    <n v="4.8399166666666599E-3"/>
    <n v="5"/>
    <s v="Pobre novio"/>
    <n v="0.81369999999999998"/>
    <m/>
    <m/>
    <m/>
    <m/>
    <m/>
    <n v="1"/>
    <n v="0"/>
  </r>
  <r>
    <s v="0cccf2bd-3bbc-4e91-a093-b838cf34e5d0"/>
    <s v="57 311 6510950"/>
    <d v="2026-05-02T00:00:00"/>
    <s v="RAG"/>
    <b v="1"/>
    <n v="1"/>
    <d v="1899-12-30T07:57:00"/>
    <s v="ciencia ficción con experimentos científicos"/>
    <s v="ciencia ficción con experimentos científicos"/>
    <x v="0"/>
    <b v="1"/>
    <b v="0"/>
    <n v="5.6806166666666597E-3"/>
    <n v="5"/>
    <s v="Jerrod Carmichael Reality Show"/>
    <n v="0.27629999999999999"/>
    <m/>
    <m/>
    <m/>
    <m/>
    <m/>
    <n v="1"/>
    <n v="0"/>
  </r>
  <r>
    <s v="2e6471e1-d563-4b69-9195-9e595d7ecb7c"/>
    <s v="57 311 8664994"/>
    <d v="2026-04-24T00:00:00"/>
    <s v="RAG"/>
    <b v="1"/>
    <n v="1"/>
    <d v="1899-12-30T01:06:00"/>
    <s v="Películas de terror intensas"/>
    <s v="Películas de terror intensas"/>
    <x v="0"/>
    <b v="1"/>
    <b v="0"/>
    <n v="1.26313E-2"/>
    <n v="5"/>
    <s v="Guillermo del Toro's Cabinet of Curiosities"/>
    <n v="0.20430000000000001"/>
    <m/>
    <m/>
    <m/>
    <m/>
    <m/>
    <n v="1"/>
    <n v="0"/>
  </r>
  <r>
    <s v="0dc67bfe-df11-4f3d-93f6-7381f1161c6d"/>
    <s v="57 319 6618862"/>
    <d v="2026-05-02T00:00:00"/>
    <s v="RAG"/>
    <b v="1"/>
    <n v="1"/>
    <d v="1899-12-30T17:58:00"/>
    <s v="romance con drama y final feliz"/>
    <s v="romance con drama y final feliz"/>
    <x v="0"/>
    <b v="1"/>
    <b v="0"/>
    <n v="4.7777999999999996E-3"/>
    <n v="5"/>
    <s v="Sullivan's Crossing"/>
    <n v="0.99939999999999996"/>
    <m/>
    <m/>
    <m/>
    <m/>
    <m/>
    <n v="1"/>
    <n v="0"/>
  </r>
  <r>
    <s v="11ab5c2d-a093-4deb-82d4-b7dc0d7d17b1"/>
    <s v="57 319 1530273"/>
    <d v="2026-05-02T00:00:00"/>
    <s v="RAG"/>
    <b v="1"/>
    <n v="1"/>
    <d v="1899-12-30T23:11:00"/>
    <s v="romance intenso pero no trágico"/>
    <s v="romance intenso pero no trágico"/>
    <x v="0"/>
    <b v="1"/>
    <b v="0"/>
    <n v="5.4827833333333303E-3"/>
    <n v="5"/>
    <s v="Tastefully Yours"/>
    <n v="0.76929999999999998"/>
    <m/>
    <m/>
    <m/>
    <m/>
    <m/>
    <n v="1"/>
    <n v="0"/>
  </r>
  <r>
    <s v="1343a49a-f2ac-490f-adb1-fb41baa9dd4b"/>
    <s v="57 314 1585087"/>
    <d v="2026-05-02T00:00:00"/>
    <s v="DIRECT"/>
    <b v="0"/>
    <n v="1"/>
    <d v="1899-12-30T04:40:00"/>
    <s v="películas de acción con espionaje"/>
    <s v="películas de acción con espionaje"/>
    <x v="1"/>
    <b v="0"/>
    <b v="0"/>
    <n v="3.7991499999999998E-3"/>
    <n v="5"/>
    <s v="Anche se è amore non si vede"/>
    <n v="0.2681"/>
    <m/>
    <m/>
    <m/>
    <m/>
    <m/>
    <n v="1"/>
    <n v="0"/>
  </r>
  <r>
    <s v="19bd5ce4-30a1-4c39-b956-9de1892790bf"/>
    <s v="57 311 7597733"/>
    <d v="2026-05-02T00:00:00"/>
    <s v="DIRECT"/>
    <b v="0"/>
    <n v="1"/>
    <d v="1899-12-30T11:25:00"/>
    <s v="me gustó Parasite, algo así"/>
    <s v="me gustó Parasite, algo así"/>
    <x v="1"/>
    <b v="0"/>
    <b v="0"/>
    <n v="4.9799900000000001E-2"/>
    <n v="5"/>
    <s v="Blue Monkey"/>
    <n v="0.3216"/>
    <m/>
    <m/>
    <m/>
    <m/>
    <m/>
    <n v="1"/>
    <n v="0"/>
  </r>
  <r>
    <s v="1dc12e13-f366-49c6-91ea-84893c5716a5"/>
    <s v="57 318 0505135"/>
    <d v="2026-05-02T00:00:00"/>
    <s v="DIRECT"/>
    <b v="0"/>
    <n v="1"/>
    <d v="1899-12-30T23:55:00"/>
    <s v="acción rápida pero con desarrollo de personajes"/>
    <s v="acción rápida pero con desarrollo de personajes"/>
    <x v="1"/>
    <b v="0"/>
    <b v="0"/>
    <n v="3.3674999999999998E-3"/>
    <n v="5"/>
    <s v="È questa la vita che sognavo da bambino?"/>
    <n v="0.26040000000000002"/>
    <m/>
    <m/>
    <m/>
    <m/>
    <m/>
    <n v="1"/>
    <n v="0"/>
  </r>
  <r>
    <s v="21345970-7969-474d-9d51-fbee2678c522"/>
    <s v="57 319 1614030"/>
    <d v="2026-05-02T00:00:00"/>
    <s v="DIRECT"/>
    <b v="0"/>
    <n v="1"/>
    <d v="1899-12-30T19:40:00"/>
    <s v="acción con buena historia y no solo peleas"/>
    <s v="acción con buena historia y no solo peleas"/>
    <x v="1"/>
    <b v="0"/>
    <b v="0"/>
    <n v="5.7618000000000001E-3"/>
    <n v="5"/>
    <s v="Después de… Primera parte: no se os puede dejar solos"/>
    <n v="0.38100000000000001"/>
    <m/>
    <m/>
    <m/>
    <m/>
    <m/>
    <n v="1"/>
    <n v="0"/>
  </r>
  <r>
    <s v="217b8b66-0e61-49c2-aaa8-0a8d4bed4137"/>
    <s v="57 312 9343903"/>
    <d v="2026-05-02T00:00:00"/>
    <s v="RAG"/>
    <b v="1"/>
    <n v="1"/>
    <d v="1899-12-30T17:32:00"/>
    <s v="me gustó Ex Machina, algo así"/>
    <s v="me gustó Ex Machina, algo así"/>
    <x v="0"/>
    <b v="1"/>
    <b v="0"/>
    <n v="5.9700666666666598E-3"/>
    <n v="5"/>
    <s v="Juro que te amo"/>
    <n v="0.24629999999999999"/>
    <m/>
    <m/>
    <m/>
    <m/>
    <m/>
    <n v="1"/>
    <n v="0"/>
  </r>
  <r>
    <s v="262c0dcc-7566-4885-99bc-1cc5db334147"/>
    <s v="57 311 7238104"/>
    <d v="2026-05-02T00:00:00"/>
    <s v="RAG"/>
    <b v="1"/>
    <n v="1"/>
    <d v="1899-12-30T13:24:00"/>
    <s v="películas tipo 300"/>
    <s v="películas tipo 300"/>
    <x v="0"/>
    <b v="1"/>
    <b v="0"/>
    <n v="5.0482000000000001E-3"/>
    <n v="5"/>
    <s v="Muchachos, la película de la gente"/>
    <n v="0.1983"/>
    <m/>
    <m/>
    <m/>
    <m/>
    <m/>
    <n v="1"/>
    <n v="0"/>
  </r>
  <r>
    <s v="2caf9919-0a0d-40f2-8927-a60d4a571af1"/>
    <s v="57 311 3256341"/>
    <d v="2026-05-02T00:00:00"/>
    <s v="DIRECT"/>
    <b v="0"/>
    <n v="1"/>
    <d v="1899-12-30T13:49:00"/>
    <s v="películas tipo Spider-Man"/>
    <s v="películas tipo Spider-Man"/>
    <x v="1"/>
    <b v="0"/>
    <b v="0"/>
    <n v="5.73006666666666E-3"/>
    <n v="5"/>
    <s v="The Spectacular Spider-Man"/>
    <n v="0.57769999999999999"/>
    <m/>
    <m/>
    <m/>
    <m/>
    <m/>
    <n v="1"/>
    <n v="0"/>
  </r>
  <r>
    <s v="30df9703-e96e-43e6-99a6-f60dfeadbdf7"/>
    <s v="57 315 8803135"/>
    <d v="2026-05-02T00:00:00"/>
    <s v="DIRECT"/>
    <b v="0"/>
    <n v="1"/>
    <d v="1899-12-30T06:33:00"/>
    <s v="películas animadas familiares"/>
    <s v="películas animadas familiares"/>
    <x v="1"/>
    <b v="0"/>
    <b v="0"/>
    <n v="5.4261166666666602E-3"/>
    <n v="5"/>
    <s v="Egypt: Secrets of the Pharaohs"/>
    <n v="0.1968"/>
    <m/>
    <m/>
    <m/>
    <m/>
    <m/>
    <n v="1"/>
    <n v="0"/>
  </r>
  <r>
    <s v="31016bdc-2b87-43f3-9c82-7139ae329f81"/>
    <s v="57 317 0129130"/>
    <d v="2026-05-02T00:00:00"/>
    <s v="RAG"/>
    <b v="1"/>
    <n v="1"/>
    <d v="1899-12-30T12:09:00"/>
    <s v="me gustó Twilight, algo parecido"/>
    <s v="me gustó Twilight, algo parecido"/>
    <x v="0"/>
    <b v="1"/>
    <b v="0"/>
    <n v="4.68596666666666E-3"/>
    <n v="5"/>
    <s v="Gathering Storm"/>
    <n v="0.26140000000000002"/>
    <m/>
    <m/>
    <m/>
    <m/>
    <m/>
    <n v="1"/>
    <n v="0"/>
  </r>
  <r>
    <s v="32ab0ac7-aa50-4c66-8405-4009b48a8c40"/>
    <s v="57 311 4444262"/>
    <d v="2026-05-02T00:00:00"/>
    <s v="RAG"/>
    <b v="1"/>
    <n v="1"/>
    <d v="1899-12-30T15:21:00"/>
    <s v="algo como The Wolf of Wall Street"/>
    <s v="algo como The Wolf of Wall Street"/>
    <x v="0"/>
    <b v="1"/>
    <b v="0"/>
    <n v="1.0550666666666601E-2"/>
    <n v="5"/>
    <s v="Wall Street"/>
    <n v="0.56100000000000005"/>
    <m/>
    <m/>
    <m/>
    <m/>
    <m/>
    <n v="1"/>
    <n v="0"/>
  </r>
  <r>
    <s v="355603ec-6d3f-4991-949a-883f154a9c13"/>
    <s v="57 314 3759001"/>
    <d v="2026-05-02T00:00:00"/>
    <s v="RAG"/>
    <b v="1"/>
    <n v="1"/>
    <d v="1899-12-30T04:33:00"/>
    <s v="terror con criaturas extrañas"/>
    <s v="terror con criaturas extrañas"/>
    <x v="0"/>
    <b v="1"/>
    <b v="0"/>
    <n v="3.3978999999999902E-3"/>
    <n v="5"/>
    <s v="Furia"/>
    <n v="0.33040000000000003"/>
    <m/>
    <m/>
    <m/>
    <m/>
    <m/>
    <n v="1"/>
    <n v="0"/>
  </r>
  <r>
    <s v="36af3652-fd36-4eff-8158-1901f971469b"/>
    <s v="57 311 3373978"/>
    <d v="2026-05-02T00:00:00"/>
    <s v="RAG"/>
    <b v="1"/>
    <n v="1"/>
    <d v="1899-12-30T21:39:00"/>
    <s v="ciencia ficción con distopía y protagonista fuerte"/>
    <s v="ciencia ficción con distopía y protagonista fuerte"/>
    <x v="0"/>
    <b v="1"/>
    <b v="0"/>
    <n v="5.1285833333333296E-3"/>
    <n v="5"/>
    <s v="Bureau 749"/>
    <n v="0.41470000000000001"/>
    <m/>
    <m/>
    <m/>
    <m/>
    <m/>
    <n v="1"/>
    <n v="0"/>
  </r>
  <r>
    <s v="37da2d1d-603f-4629-862e-8ee1b61a381c"/>
    <s v="57 316 3588784"/>
    <d v="2026-05-02T00:00:00"/>
    <s v="DIRECT"/>
    <b v="0"/>
    <n v="1"/>
    <d v="1899-12-30T19:56:00"/>
    <s v="terror con misterio y giros inesperados"/>
    <s v="terror con misterio y giros inesperados"/>
    <x v="1"/>
    <b v="0"/>
    <b v="0"/>
    <n v="7.4256499999999998E-3"/>
    <n v="5"/>
    <s v="Tres Caínes"/>
    <n v="0.3543"/>
    <m/>
    <m/>
    <m/>
    <m/>
    <m/>
    <n v="1"/>
    <n v="0"/>
  </r>
  <r>
    <s v="396b8d95-089f-4500-85c4-36f62a7b994b"/>
    <s v="57 319 6499016"/>
    <d v="2026-05-02T00:00:00"/>
    <s v="DIRECT"/>
    <b v="0"/>
    <n v="1"/>
    <d v="1899-12-30T14:06:00"/>
    <s v="algo como Black Panther"/>
    <s v="algo como Black Panther"/>
    <x v="1"/>
    <b v="0"/>
    <b v="0"/>
    <n v="6.3853E-3"/>
    <n v="5"/>
    <s v="Black Panther"/>
    <n v="0.63190000000000002"/>
    <m/>
    <m/>
    <m/>
    <m/>
    <m/>
    <n v="1"/>
    <n v="0"/>
  </r>
  <r>
    <s v="3d821ff1-b619-470b-9ab9-44aa2e583e63"/>
    <s v="57 313 4398506"/>
    <d v="2026-05-02T00:00:00"/>
    <s v="DIRECT"/>
    <b v="0"/>
    <n v="1"/>
    <d v="1899-12-30T11:46:00"/>
    <s v="pelis parecidas a Frozen"/>
    <s v="pelis parecidas a Frozen"/>
    <x v="1"/>
    <b v="0"/>
    <b v="0"/>
    <n v="5.93573333333333E-3"/>
    <n v="5"/>
    <s v="Melting Me Softly"/>
    <n v="0.3135"/>
    <m/>
    <m/>
    <m/>
    <m/>
    <m/>
    <n v="1"/>
    <n v="0"/>
  </r>
  <r>
    <s v="487d2e23-9a94-4092-9ce4-50494d8a731d"/>
    <s v="57 311 6237173"/>
    <d v="2026-05-02T00:00:00"/>
    <s v="DIRECT"/>
    <b v="0"/>
    <n v="1"/>
    <d v="1899-12-30T18:38:00"/>
    <s v="acción intensa pero no muy larga"/>
    <s v="acción intensa pero no muy larga"/>
    <x v="1"/>
    <b v="0"/>
    <b v="0"/>
    <n v="3.6010499999999902E-3"/>
    <n v="5"/>
    <s v="Cabo"/>
    <n v="0.2112"/>
    <m/>
    <m/>
    <m/>
    <m/>
    <m/>
    <n v="1"/>
    <n v="0"/>
  </r>
  <r>
    <s v="4a0db322-cc54-4faa-8bad-c907457f7e88"/>
    <s v="57 315 3304536"/>
    <d v="2026-05-02T00:00:00"/>
    <s v="RAG"/>
    <b v="1"/>
    <n v="1"/>
    <d v="1899-12-30T10:03:00"/>
    <s v="me gustó Titanic, algo similar"/>
    <s v="me gustó Titanic, algo similar"/>
    <x v="0"/>
    <b v="1"/>
    <b v="0"/>
    <n v="6.7854833333333298E-3"/>
    <n v="5"/>
    <s v="Titanic: The Final Word with James Cameron"/>
    <n v="0.50860000000000005"/>
    <m/>
    <m/>
    <m/>
    <m/>
    <m/>
    <n v="1"/>
    <n v="0"/>
  </r>
  <r>
    <s v="4eb3630b-9005-473b-8ccf-e70867e8b854"/>
    <s v="57 315 9991717"/>
    <d v="2026-05-02T00:00:00"/>
    <s v="DIRECT"/>
    <b v="0"/>
    <n v="1"/>
    <d v="1899-12-30T10:12:00"/>
    <s v="algo como The Dark Knight"/>
    <s v="algo como The Dark Knight"/>
    <x v="1"/>
    <b v="0"/>
    <b v="0"/>
    <n v="7.0458333333333302E-3"/>
    <n v="5"/>
    <s v="The Dark Knight"/>
    <n v="0.68940000000000001"/>
    <m/>
    <m/>
    <m/>
    <m/>
    <m/>
    <n v="1"/>
    <n v="0"/>
  </r>
  <r>
    <s v="5176706c-03a4-48aa-b602-f9cc4aebb5eb"/>
    <s v="57 317 1879184"/>
    <d v="2026-05-02T00:00:00"/>
    <s v="RAG"/>
    <b v="1"/>
    <n v="1"/>
    <d v="1899-12-30T22:46:00"/>
    <s v="ciencia ficción con realidades alternas y misterio"/>
    <s v="ciencia ficción con realidades alternas y misterio"/>
    <x v="0"/>
    <b v="1"/>
    <b v="0"/>
    <n v="4.4673999999999998E-3"/>
    <n v="5"/>
    <s v="Anche se è amore non si vede"/>
    <n v="0.29499999999999998"/>
    <m/>
    <m/>
    <m/>
    <m/>
    <m/>
    <n v="1"/>
    <n v="0"/>
  </r>
  <r>
    <s v="53ae2772-85b2-4bf2-8d4b-34c37be32ddc"/>
    <s v="57 315 7056096"/>
    <d v="2026-05-02T00:00:00"/>
    <s v="DIRECT"/>
    <b v="0"/>
    <n v="1"/>
    <d v="1899-12-30T20:12:00"/>
    <s v="acción con espionaje y tecnología"/>
    <s v="acción con espionaje y tecnología"/>
    <x v="1"/>
    <b v="0"/>
    <b v="0"/>
    <n v="4.3987666666666604E-3"/>
    <n v="5"/>
    <s v="Illiterate"/>
    <n v="0.28420000000000001"/>
    <m/>
    <m/>
    <m/>
    <m/>
    <m/>
    <n v="1"/>
    <n v="0"/>
  </r>
  <r>
    <s v="53fe998e-bdb0-4ffd-8ce2-5ada36ef7870"/>
    <s v="57 314 3014102"/>
    <d v="2026-05-02T00:00:00"/>
    <s v="RAG"/>
    <b v="1"/>
    <n v="1"/>
    <d v="1899-12-30T20:24:00"/>
    <s v="ciencia ficción futurista pero realista"/>
    <s v="ciencia ficción futurista pero realista"/>
    <x v="0"/>
    <b v="1"/>
    <b v="0"/>
    <n v="3.5141666666666598E-3"/>
    <n v="5"/>
    <s v="The World's Gold"/>
    <n v="0.2576"/>
    <m/>
    <m/>
    <m/>
    <m/>
    <m/>
    <n v="1"/>
    <n v="0"/>
  </r>
  <r>
    <s v="5711ac8b-98b8-4ef5-bb78-3d41ea6654d2"/>
    <s v="57 313 7759672"/>
    <d v="2026-05-02T00:00:00"/>
    <s v="DIRECT"/>
    <b v="0"/>
    <n v="1"/>
    <d v="1899-12-30T10:26:00"/>
    <s v="algo como Avengers"/>
    <s v="algo como Avengers"/>
    <x v="1"/>
    <b v="0"/>
    <b v="0"/>
    <n v="5.0877499999999899E-3"/>
    <n v="5"/>
    <s v="Marvel's Avengers"/>
    <n v="0.47720000000000001"/>
    <m/>
    <m/>
    <m/>
    <m/>
    <m/>
    <n v="1"/>
    <n v="0"/>
  </r>
  <r>
    <s v="584c63fb-1cd0-431c-a57c-be4a6cc86c12"/>
    <s v="57 314 5100778"/>
    <d v="2026-05-02T00:00:00"/>
    <s v="RAG"/>
    <b v="1"/>
    <n v="1"/>
    <d v="1899-12-30T21:55:00"/>
    <s v="romance de época con drama"/>
    <s v="romance de época con drama"/>
    <x v="0"/>
    <b v="1"/>
    <b v="0"/>
    <n v="4.0579166666666602E-3"/>
    <n v="5"/>
    <s v="Sullivan's Crossing"/>
    <n v="0.99939999999999996"/>
    <m/>
    <m/>
    <m/>
    <m/>
    <m/>
    <n v="1"/>
    <n v="0"/>
  </r>
  <r>
    <s v="5893e890-c0b9-4c13-87a7-ad3713385448"/>
    <s v="57 311 7291505"/>
    <d v="2026-05-02T00:00:00"/>
    <s v="RAG"/>
    <b v="1"/>
    <n v="1"/>
    <d v="1899-12-30T09:47:00"/>
    <s v="algo como Interstellar"/>
    <s v="algo como Interstellar"/>
    <x v="0"/>
    <b v="1"/>
    <b v="0"/>
    <n v="3.0058466666666599E-2"/>
    <n v="5"/>
    <s v="Interstellar"/>
    <n v="0.60709999999999997"/>
    <m/>
    <m/>
    <m/>
    <m/>
    <m/>
    <n v="1"/>
    <n v="0"/>
  </r>
  <r>
    <s v="5c387b24-6764-4e41-a70f-a6f802ae29cf"/>
    <s v="57 313 9165694"/>
    <d v="2026-05-02T00:00:00"/>
    <s v="RAG"/>
    <b v="1"/>
    <n v="1"/>
    <d v="1899-12-30T07:28:00"/>
    <s v="terror con asesinos"/>
    <s v="terror con asesinos"/>
    <x v="0"/>
    <b v="1"/>
    <b v="0"/>
    <n v="6.2927833333333303E-3"/>
    <n v="5"/>
    <s v="Furia"/>
    <n v="0.36509999999999998"/>
    <m/>
    <m/>
    <m/>
    <m/>
    <m/>
    <n v="1"/>
    <n v="0"/>
  </r>
  <r>
    <s v="5d3164b4-a765-4f8e-a3ea-15a0b8a9fbe0"/>
    <s v="57 316 7205983"/>
    <d v="2026-05-02T00:00:00"/>
    <s v="DIRECT"/>
    <b v="0"/>
    <n v="1"/>
    <d v="1899-12-30T14:55:00"/>
    <s v="algo como Fight Club"/>
    <s v="algo como Fight Club"/>
    <x v="1"/>
    <b v="0"/>
    <b v="0"/>
    <n v="5.5427166666666599E-3"/>
    <n v="5"/>
    <s v="Fear"/>
    <n v="0.33739999999999998"/>
    <m/>
    <m/>
    <m/>
    <m/>
    <m/>
    <n v="1"/>
    <n v="0"/>
  </r>
  <r>
    <s v="5f2029a4-4f77-41c6-bf6e-5048b8ba670a"/>
    <s v="57 314 8958683"/>
    <d v="2026-05-02T00:00:00"/>
    <s v="DIRECT"/>
    <b v="0"/>
    <n v="1"/>
    <d v="1899-12-30T04:51:00"/>
    <s v="películas de aventura en la selva"/>
    <s v="películas de aventura en la selva"/>
    <x v="1"/>
    <b v="0"/>
    <b v="0"/>
    <n v="3.0585500000000002E-3"/>
    <n v="5"/>
    <s v="Vacanze di Natale a Cortina"/>
    <n v="0.22120000000000001"/>
    <m/>
    <m/>
    <m/>
    <m/>
    <m/>
    <n v="1"/>
    <n v="0"/>
  </r>
  <r>
    <s v="5f4503d7-d9a1-4f17-84b6-99b95a9ae188"/>
    <s v="57 317 4909140"/>
    <d v="2026-05-02T00:00:00"/>
    <s v="DIRECT"/>
    <b v="0"/>
    <n v="1"/>
    <d v="1899-12-30T06:04:00"/>
    <s v="ciencia ficción con tecnología avanzada"/>
    <s v="ciencia ficción con tecnología avanzada"/>
    <x v="1"/>
    <b v="0"/>
    <b v="0"/>
    <n v="2.0526900000000001E-2"/>
    <n v="5"/>
    <s v="Bureau 749"/>
    <n v="0.38790000000000002"/>
    <m/>
    <m/>
    <m/>
    <m/>
    <m/>
    <n v="1"/>
    <n v="0"/>
  </r>
  <r>
    <s v="60b58309-783c-4ee5-bc21-463b838b92b7"/>
    <s v="57 313 0625834"/>
    <d v="2026-05-02T00:00:00"/>
    <s v="RAG"/>
    <b v="1"/>
    <n v="1"/>
    <d v="1899-12-30T18:44:00"/>
    <s v="ciencia ficción con enfoque emocional"/>
    <s v="ciencia ficción con enfoque emocional"/>
    <x v="0"/>
    <b v="1"/>
    <b v="0"/>
    <n v="3.3914333333333298E-3"/>
    <n v="5"/>
    <s v="Anche se è amore non si vede"/>
    <n v="0.30509999999999998"/>
    <m/>
    <m/>
    <m/>
    <m/>
    <m/>
    <n v="1"/>
    <n v="0"/>
  </r>
  <r>
    <s v="6114b0a7-bf4d-4880-b312-4829f7f5a19e"/>
    <s v="57 313 1259303"/>
    <d v="2026-05-02T00:00:00"/>
    <s v="RAG"/>
    <b v="1"/>
    <n v="1"/>
    <d v="1899-12-30T06:26:00"/>
    <s v="romance complicado"/>
    <s v="romance complicado"/>
    <x v="0"/>
    <b v="1"/>
    <b v="0"/>
    <n v="4.4173999999999897E-3"/>
    <n v="5"/>
    <s v="Tastefully Yours"/>
    <n v="0.76929999999999998"/>
    <m/>
    <m/>
    <m/>
    <m/>
    <m/>
    <n v="1"/>
    <n v="0"/>
  </r>
  <r>
    <s v="b68c90bc-792f-4dc1-bb08-c814c1c215fc"/>
    <s v="57 319 8783473"/>
    <d v="2026-05-02T00:00:00"/>
    <s v="DIRECT"/>
    <b v="0"/>
    <n v="1"/>
    <d v="1899-12-30T04:15:00"/>
    <s v="películas dramáticas basadas en la vida real"/>
    <s v="películas dramáticas basadas en la vida real"/>
    <x v="1"/>
    <b v="0"/>
    <b v="0"/>
    <n v="4.1859999999999996E-3"/>
    <n v="5"/>
    <s v="Mi Vida Eres Tú"/>
    <n v="-0.60660000000000003"/>
    <m/>
    <m/>
    <m/>
    <m/>
    <m/>
    <n v="1"/>
    <n v="0"/>
  </r>
  <r>
    <s v="63b08277-d461-4adf-9fc6-a7dd16c78222"/>
    <s v="57 311 0912942"/>
    <d v="2026-05-02T00:00:00"/>
    <s v="DIRECT"/>
    <b v="0"/>
    <n v="1"/>
    <d v="1899-12-30T14:41:00"/>
    <s v="películas tipo A Quiet Place"/>
    <s v="películas tipo A Quiet Place"/>
    <x v="1"/>
    <b v="0"/>
    <b v="0"/>
    <n v="5.5477333333333297E-3"/>
    <n v="5"/>
    <s v="Forevermore"/>
    <n v="0.2409"/>
    <m/>
    <m/>
    <m/>
    <m/>
    <m/>
    <n v="1"/>
    <n v="0"/>
  </r>
  <r>
    <s v="658bc91f-e3a9-4616-80d8-aef5c4385f19"/>
    <s v="57 313 1184989"/>
    <d v="2026-05-02T00:00:00"/>
    <s v="RAG"/>
    <b v="1"/>
    <n v="1"/>
    <d v="1899-12-30T20:48:00"/>
    <s v="romance moderno con conflictos reales"/>
    <s v="romance moderno con conflictos reales"/>
    <x v="0"/>
    <b v="1"/>
    <b v="0"/>
    <n v="1.1330750000000001E-2"/>
    <n v="5"/>
    <s v="Pobre novio"/>
    <n v="0.81369999999999998"/>
    <m/>
    <m/>
    <m/>
    <m/>
    <m/>
    <n v="1"/>
    <n v="0"/>
  </r>
  <r>
    <s v="658cc6dc-c863-4a96-9066-00facd32818a"/>
    <s v="57 311 5823075"/>
    <d v="2026-05-02T00:00:00"/>
    <s v="RAG"/>
    <b v="1"/>
    <n v="1"/>
    <d v="1899-12-30T14:33:00"/>
    <s v="algo como The Martian"/>
    <s v="algo como The Martian"/>
    <x v="0"/>
    <b v="1"/>
    <b v="0"/>
    <n v="7.8266499999999992E-3"/>
    <n v="5"/>
    <s v="The Expanse"/>
    <n v="0.40670000000000001"/>
    <m/>
    <m/>
    <m/>
    <m/>
    <m/>
    <n v="1"/>
    <n v="0"/>
  </r>
  <r>
    <s v="65c14813-78f5-42e2-90a2-292a2bea0375"/>
    <s v="57 316 6753083"/>
    <d v="2026-05-02T00:00:00"/>
    <s v="RAG"/>
    <b v="1"/>
    <n v="1"/>
    <d v="1899-12-30T07:42:00"/>
    <s v="romance dramático"/>
    <s v="romance dramático"/>
    <x v="0"/>
    <b v="1"/>
    <b v="0"/>
    <n v="4.00901666666666E-3"/>
    <n v="5"/>
    <s v="Romancero"/>
    <n v="0.69689999999999996"/>
    <m/>
    <m/>
    <m/>
    <m/>
    <m/>
    <n v="1"/>
    <n v="0"/>
  </r>
  <r>
    <s v="667b153a-33cf-4868-b85f-8c29e5c39037"/>
    <s v="57 314 8806810"/>
    <d v="2026-05-02T00:00:00"/>
    <s v="RAG"/>
    <b v="1"/>
    <n v="1"/>
    <d v="1899-12-30T13:57:00"/>
    <s v="me gustó Doctor Strange, algo así"/>
    <s v="me gustó Doctor Strange, algo así"/>
    <x v="0"/>
    <b v="1"/>
    <b v="0"/>
    <n v="5.7018333333333296E-3"/>
    <n v="5"/>
    <s v="Doctor Strange in the Multiverse of Madness"/>
    <n v="0.40749999999999997"/>
    <m/>
    <m/>
    <m/>
    <m/>
    <m/>
    <n v="1"/>
    <n v="0"/>
  </r>
  <r>
    <s v="680d14f3-16d2-4915-818c-2637208045e9"/>
    <s v="57 313 1542902"/>
    <d v="2026-05-02T00:00:00"/>
    <s v="DIRECT"/>
    <b v="0"/>
    <n v="1"/>
    <d v="1899-12-30T08:20:00"/>
    <s v="romance moderno"/>
    <s v="romance moderno"/>
    <x v="1"/>
    <b v="0"/>
    <b v="0"/>
    <n v="2.7513499999999901E-3"/>
    <n v="5"/>
    <s v="Romancero"/>
    <n v="0.69689999999999996"/>
    <m/>
    <m/>
    <m/>
    <m/>
    <m/>
    <n v="1"/>
    <n v="0"/>
  </r>
  <r>
    <s v="6b5a691d-0025-4dd8-bffb-aa9dcd91441d"/>
    <s v="57 314 7799236"/>
    <d v="2026-05-02T00:00:00"/>
    <s v="RAG"/>
    <b v="1"/>
    <n v="1"/>
    <d v="1899-12-30T13:06:00"/>
    <s v="me gustó Coco, algo así"/>
    <s v="me gustó Coco, algo así"/>
    <x v="0"/>
    <b v="1"/>
    <b v="0"/>
    <n v="6.4681499999999998E-3"/>
    <n v="5"/>
    <s v="A Celebration of the Music from Coco"/>
    <n v="0.36299999999999999"/>
    <m/>
    <m/>
    <m/>
    <m/>
    <m/>
    <n v="1"/>
    <n v="0"/>
  </r>
  <r>
    <s v="6b677c1a-18f2-458a-ad36-ba7d83c49db7"/>
    <s v="57 313 0756365"/>
    <d v="2026-05-02T00:00:00"/>
    <s v="RAG"/>
    <b v="1"/>
    <n v="1"/>
    <d v="1899-12-30T00:02:00"/>
    <s v="ciencia ficción compleja pero entretenida"/>
    <s v="ciencia ficción compleja pero entretenida"/>
    <x v="0"/>
    <b v="1"/>
    <b v="0"/>
    <n v="3.4771666666666601E-3"/>
    <n v="5"/>
    <s v="The World's Gold"/>
    <n v="0.2676"/>
    <m/>
    <m/>
    <m/>
    <m/>
    <m/>
    <n v="1"/>
    <n v="0"/>
  </r>
  <r>
    <s v="6c204ca5-72d6-4370-8a33-ac86d51b03cf"/>
    <s v="57 314 8030086"/>
    <d v="2026-05-02T00:00:00"/>
    <s v="DIRECT"/>
    <b v="0"/>
    <n v="1"/>
    <d v="1899-12-30T08:55:00"/>
    <s v="películas de acción rápidas"/>
    <s v="películas de acción rápidas"/>
    <x v="1"/>
    <b v="0"/>
    <b v="0"/>
    <n v="3.07386666666666E-3"/>
    <n v="5"/>
    <s v="Vacanze di Natale a Cortina"/>
    <n v="0.18290000000000001"/>
    <m/>
    <m/>
    <m/>
    <m/>
    <m/>
    <n v="1"/>
    <n v="0"/>
  </r>
  <r>
    <s v="742c135a-a19f-498b-9a01-f02f3a395dfd"/>
    <s v="57 319 1268038"/>
    <d v="2026-05-02T00:00:00"/>
    <s v="DIRECT"/>
    <b v="0"/>
    <n v="1"/>
    <d v="1899-12-30T16:46:00"/>
    <s v="algo como The Hunger Games"/>
    <s v="algo como The Hunger Games"/>
    <x v="1"/>
    <b v="0"/>
    <b v="0"/>
    <n v="4.8956666666666602E-3"/>
    <n v="5"/>
    <s v="Guy's Grocery Games"/>
    <n v="0.40479999999999999"/>
    <m/>
    <m/>
    <m/>
    <m/>
    <m/>
    <n v="1"/>
    <n v="0"/>
  </r>
  <r>
    <s v="77066d84-37ac-4c2a-a865-821c2d7b27f5"/>
    <s v="57 311 0515691"/>
    <d v="2026-05-02T00:00:00"/>
    <s v="DIRECT"/>
    <b v="0"/>
    <n v="1"/>
    <d v="1899-12-30T05:32:00"/>
    <s v="romance en época antigua"/>
    <s v="romance en época antigua"/>
    <x v="1"/>
    <b v="0"/>
    <b v="0"/>
    <n v="6.29635E-3"/>
    <n v="5"/>
    <s v="Tastefully Yours"/>
    <n v="0.76929999999999998"/>
    <m/>
    <m/>
    <m/>
    <m/>
    <m/>
    <n v="1"/>
    <n v="0"/>
  </r>
  <r>
    <s v="7712861d-7933-4ec9-b201-bbed5b88c2a6"/>
    <s v="57 319 5073762"/>
    <d v="2026-05-02T00:00:00"/>
    <s v="RAG"/>
    <b v="1"/>
    <n v="1"/>
    <d v="1899-12-30T07:12:00"/>
    <s v="películas de suspenso con crimen"/>
    <s v="películas de suspenso con crimen"/>
    <x v="0"/>
    <b v="1"/>
    <b v="0"/>
    <n v="8.4092999999999998E-3"/>
    <n v="5"/>
    <s v="Rabbies"/>
    <n v="0.28310000000000002"/>
    <m/>
    <m/>
    <m/>
    <m/>
    <m/>
    <n v="1"/>
    <n v="0"/>
  </r>
  <r>
    <s v="77e0a25f-b6ef-4912-a9b8-6b9d7f16c514"/>
    <s v="57 319 4602434"/>
    <d v="2026-05-02T00:00:00"/>
    <s v="DIRECT"/>
    <b v="0"/>
    <n v="1"/>
    <d v="1899-12-30T08:05:00"/>
    <s v="terror con ambientes oscuros"/>
    <s v="terror con ambientes oscuros"/>
    <x v="1"/>
    <b v="0"/>
    <b v="0"/>
    <n v="5.6277499999999999E-3"/>
    <n v="5"/>
    <s v="Furia"/>
    <n v="0.32579999999999998"/>
    <m/>
    <m/>
    <m/>
    <m/>
    <m/>
    <n v="1"/>
    <n v="0"/>
  </r>
  <r>
    <s v="7a6b317c-72fd-4e14-8fff-6707a32ad4c2"/>
    <s v="57 312 7416497"/>
    <d v="2026-05-02T00:00:00"/>
    <s v="RAG"/>
    <b v="1"/>
    <n v="1"/>
    <d v="1899-12-30T12:49:00"/>
    <s v="algo como The Notebook"/>
    <s v="algo como The Notebook"/>
    <x v="0"/>
    <b v="1"/>
    <b v="0"/>
    <n v="7.4790666666666597E-3"/>
    <n v="5"/>
    <s v="The Vow"/>
    <n v="0.37590000000000001"/>
    <m/>
    <m/>
    <m/>
    <m/>
    <m/>
    <n v="1"/>
    <n v="0"/>
  </r>
  <r>
    <s v="7c655615-0bbc-4974-b7ee-6dee63b8a3fd"/>
    <s v="57 314 2985510"/>
    <d v="2026-05-02T00:00:00"/>
    <s v="DIRECT"/>
    <b v="0"/>
    <n v="1"/>
    <d v="1899-12-30T06:19:00"/>
    <s v="películas de acción con guerras"/>
    <s v="películas de acción con guerras"/>
    <x v="1"/>
    <b v="0"/>
    <b v="0"/>
    <n v="4.33616666666666E-3"/>
    <n v="5"/>
    <s v="Ebre, del bressol a la batalla"/>
    <n v="0.35460000000000003"/>
    <m/>
    <m/>
    <m/>
    <m/>
    <m/>
    <n v="1"/>
    <n v="0"/>
  </r>
  <r>
    <s v="7f4ab135-befe-4ee4-b292-054f1a49d260"/>
    <s v="57 315 6644865"/>
    <d v="2026-05-02T00:00:00"/>
    <s v="DIRECT"/>
    <b v="0"/>
    <n v="1"/>
    <d v="1899-12-30T06:50:00"/>
    <s v="terror con tensión constante"/>
    <s v="terror con tensión constante"/>
    <x v="1"/>
    <b v="0"/>
    <b v="0"/>
    <n v="6.5625333333333303E-3"/>
    <n v="5"/>
    <s v="Complicit"/>
    <n v="0.34889999999999999"/>
    <m/>
    <m/>
    <m/>
    <m/>
    <m/>
    <n v="1"/>
    <n v="0"/>
  </r>
  <r>
    <s v="8262d4e6-fa34-42d5-a824-df9b446f7eac"/>
    <s v="57 312 4023499"/>
    <d v="2026-05-02T00:00:00"/>
    <s v="DIRECT"/>
    <b v="0"/>
    <n v="1"/>
    <d v="1899-12-30T21:14:00"/>
    <s v="terror psicológico sin jumpscares exagerados"/>
    <s v="terror psicológico sin jumpscares exagerados"/>
    <x v="1"/>
    <b v="0"/>
    <b v="0"/>
    <n v="7.4903499999999998E-3"/>
    <n v="5"/>
    <s v="Utusan Iblis: Dia Yang Berada di Antara Kita"/>
    <n v="0.33229999999999998"/>
    <m/>
    <m/>
    <m/>
    <m/>
    <m/>
    <n v="1"/>
    <n v="0"/>
  </r>
  <r>
    <s v="82ad5612-8800-41cb-88e0-a7539a059a1c"/>
    <s v="57 316 1632590"/>
    <d v="2026-05-02T00:00:00"/>
    <s v="DIRECT"/>
    <b v="0"/>
    <n v="1"/>
    <d v="1899-12-30T12:39:00"/>
    <s v="me gustó La La Land, algo similar"/>
    <s v="me gustó La La Land, algo similar"/>
    <x v="1"/>
    <b v="0"/>
    <b v="0"/>
    <n v="5.7415666666666603E-3"/>
    <n v="5"/>
    <s v="Still"/>
    <n v="0.26290000000000002"/>
    <m/>
    <m/>
    <m/>
    <m/>
    <m/>
    <n v="1"/>
    <n v="0"/>
  </r>
  <r>
    <s v="84e5822a-6b16-48ab-844f-38d311c03263"/>
    <s v="57 315 5811457"/>
    <d v="2026-05-02T00:00:00"/>
    <s v="RAG"/>
    <b v="1"/>
    <n v="1"/>
    <d v="1899-12-30T22:08:00"/>
    <s v="ciencia ficción con inteligencia artificial y dilemas éticos"/>
    <s v="ciencia ficción con inteligencia artificial y dilemas éticos"/>
    <x v="0"/>
    <b v="1"/>
    <b v="0"/>
    <n v="5.6493999999999997E-3"/>
    <n v="5"/>
    <s v="Parallel Minds"/>
    <n v="0.34520000000000001"/>
    <m/>
    <m/>
    <m/>
    <m/>
    <m/>
    <n v="1"/>
    <n v="0"/>
  </r>
  <r>
    <s v="87ab1610-6519-49fa-8fd6-d8fdc25c5b7c"/>
    <s v="57 316 6434033"/>
    <d v="2026-05-02T00:00:00"/>
    <s v="DIRECT"/>
    <b v="0"/>
    <n v="1"/>
    <d v="1899-12-30T23:42:00"/>
    <s v="terror oscuro con historia profunda"/>
    <s v="terror oscuro con historia profunda"/>
    <x v="1"/>
    <b v="0"/>
    <b v="0"/>
    <n v="7.1810333333333304E-3"/>
    <n v="5"/>
    <s v="The Moro Affair"/>
    <n v="0.31509999999999999"/>
    <m/>
    <m/>
    <m/>
    <m/>
    <m/>
    <n v="1"/>
    <n v="0"/>
  </r>
  <r>
    <s v="8a6cc920-4e85-4521-9bdb-0c98017c5002"/>
    <s v="57 319 8531073"/>
    <d v="2026-05-02T00:00:00"/>
    <s v="RAG"/>
    <b v="1"/>
    <n v="1"/>
    <d v="1899-12-30T17:44:00"/>
    <s v="ciencia ficción con algo de comedia"/>
    <s v="ciencia ficción con algo de comedia"/>
    <x v="0"/>
    <b v="1"/>
    <b v="0"/>
    <n v="3.4949666666666602E-3"/>
    <n v="5"/>
    <s v="Psiconautas"/>
    <n v="0.35470000000000002"/>
    <m/>
    <m/>
    <m/>
    <m/>
    <m/>
    <n v="1"/>
    <n v="0"/>
  </r>
  <r>
    <s v="8ba47f37-03a1-4ef8-a968-fc8aae76759e"/>
    <s v="57 319 6283874"/>
    <d v="2026-05-02T00:00:00"/>
    <s v="RAG"/>
    <b v="1"/>
    <n v="1"/>
    <d v="1899-12-30T17:16:00"/>
    <s v="algo como Edge of Tomorrow"/>
    <s v="algo como Edge of Tomorrow"/>
    <x v="0"/>
    <b v="1"/>
    <b v="0"/>
    <n v="7.9624833333333308E-3"/>
    <n v="5"/>
    <s v="Her"/>
    <n v="0.3165"/>
    <m/>
    <m/>
    <m/>
    <m/>
    <m/>
    <n v="1"/>
    <n v="0"/>
  </r>
  <r>
    <s v="8bfbf1fe-0fe6-490d-ba35-d89187dcd80e"/>
    <s v="57 313 2104443"/>
    <d v="2026-05-02T00:00:00"/>
    <s v="RAG"/>
    <b v="1"/>
    <n v="1"/>
    <d v="1899-12-30T12:31:00"/>
    <s v="películas tipo John Wick"/>
    <s v="películas tipo John Wick"/>
    <x v="0"/>
    <b v="1"/>
    <b v="0"/>
    <n v="1.17088E-2"/>
    <n v="5"/>
    <s v="The World's Gold"/>
    <n v="0.1865"/>
    <m/>
    <m/>
    <m/>
    <m/>
    <m/>
    <n v="1"/>
    <n v="0"/>
  </r>
  <r>
    <s v="8c037b59-1559-4615-b0b7-9097227dbcae"/>
    <s v="57 312 6325909"/>
    <d v="2026-05-02T00:00:00"/>
    <s v="RAG"/>
    <b v="1"/>
    <n v="1"/>
    <d v="1899-12-30T15:02:00"/>
    <s v="películas tipo Seven"/>
    <s v="películas tipo Seven"/>
    <x v="0"/>
    <b v="1"/>
    <b v="0"/>
    <n v="4.7107499999999997E-3"/>
    <n v="5"/>
    <s v="Egypt: Secrets of the Pharaohs"/>
    <n v="0.2107"/>
    <m/>
    <m/>
    <m/>
    <m/>
    <m/>
    <n v="1"/>
    <n v="0"/>
  </r>
  <r>
    <s v="8e1d5207-e42a-43cc-afc2-55932c3c6daa"/>
    <s v="57 314 4078607"/>
    <d v="2026-05-02T00:00:00"/>
    <s v="RAG"/>
    <b v="1"/>
    <n v="1"/>
    <d v="1899-12-30T05:08:00"/>
    <s v="ciencia ficción con viajes espaciales"/>
    <s v="ciencia ficción con viajes espaciales"/>
    <x v="0"/>
    <b v="1"/>
    <b v="0"/>
    <n v="4.2319999999999997E-3"/>
    <n v="5"/>
    <s v="Project Almanac"/>
    <n v="0.311"/>
    <m/>
    <m/>
    <m/>
    <m/>
    <m/>
    <n v="1"/>
    <n v="0"/>
  </r>
  <r>
    <s v="914db23d-1199-440d-a3f0-6d80aa20f7a8"/>
    <s v="57 313 4871092"/>
    <d v="2026-05-02T00:00:00"/>
    <s v="RAG"/>
    <b v="1"/>
    <n v="1"/>
    <d v="1899-12-30T16:17:00"/>
    <s v="algo como Pirates of the Caribbean"/>
    <s v="algo como Pirates of the Caribbean"/>
    <x v="0"/>
    <b v="1"/>
    <b v="0"/>
    <n v="7.5949333333333296E-3"/>
    <n v="5"/>
    <s v="Jake and the Never Land Pirates"/>
    <n v="0.57879999999999998"/>
    <m/>
    <m/>
    <m/>
    <m/>
    <m/>
    <n v="1"/>
    <n v="0"/>
  </r>
  <r>
    <s v="93281da9-0e7f-4fb2-b6d4-08e944c5431f"/>
    <s v="57 315 3720380"/>
    <d v="2026-05-02T00:00:00"/>
    <s v="DIRECT"/>
    <b v="0"/>
    <n v="1"/>
    <d v="1899-12-30T07:36:00"/>
    <s v="películas de acción con misiones"/>
    <s v="películas de acción con misiones"/>
    <x v="1"/>
    <b v="0"/>
    <b v="0"/>
    <n v="6.1744666666666602E-3"/>
    <n v="5"/>
    <s v="A Rooster for Esculapio"/>
    <n v="0.23669999999999999"/>
    <m/>
    <m/>
    <m/>
    <m/>
    <m/>
    <n v="1"/>
    <n v="0"/>
  </r>
  <r>
    <s v="9461f90d-695e-4558-a59a-47da68a89c61"/>
    <s v="57 316 7142463"/>
    <d v="2026-05-02T00:00:00"/>
    <s v="DIRECT"/>
    <b v="0"/>
    <n v="1"/>
    <d v="1899-12-30T22:39:00"/>
    <s v="acción con guerras pero centrada en personajes"/>
    <s v="acción con guerras pero centrada en personajes"/>
    <x v="1"/>
    <b v="0"/>
    <b v="0"/>
    <n v="3.5130666666666598E-3"/>
    <n v="5"/>
    <s v="Natural Born Narco"/>
    <n v="0.26900000000000002"/>
    <m/>
    <m/>
    <m/>
    <m/>
    <m/>
    <n v="1"/>
    <n v="0"/>
  </r>
  <r>
    <s v="9b029145-0bd2-4a94-bedd-6f40813ec2a3"/>
    <s v="57 319 7755485"/>
    <d v="2026-05-02T00:00:00"/>
    <s v="RAG"/>
    <b v="1"/>
    <n v="1"/>
    <d v="1899-12-30T11:38:00"/>
    <s v="algo como The Conjuring"/>
    <s v="algo como The Conjuring"/>
    <x v="0"/>
    <b v="1"/>
    <b v="0"/>
    <n v="1.0830933333333299E-2"/>
    <n v="5"/>
    <s v="The Conjuring"/>
    <n v="0.63959999999999995"/>
    <m/>
    <m/>
    <m/>
    <m/>
    <m/>
    <n v="1"/>
    <n v="0"/>
  </r>
  <r>
    <s v="9bd5de63-466e-4e40-91b3-3bcc6b4a038d"/>
    <s v="57 317 2281604"/>
    <d v="2026-05-02T00:00:00"/>
    <s v="DIRECT"/>
    <b v="0"/>
    <n v="1"/>
    <d v="1899-12-30T17:39:00"/>
    <s v="acción pero con romance"/>
    <s v="acción pero con romance"/>
    <x v="1"/>
    <b v="0"/>
    <b v="0"/>
    <n v="3.63808333333333E-3"/>
    <n v="5"/>
    <s v="Pobre novio"/>
    <n v="0.81369999999999998"/>
    <m/>
    <m/>
    <m/>
    <m/>
    <m/>
    <n v="1"/>
    <n v="0"/>
  </r>
  <r>
    <s v="9e9c3dee-c01b-4acd-8138-bd71f11af410"/>
    <s v="57 314 8923979"/>
    <d v="2026-05-02T00:00:00"/>
    <s v="RAG"/>
    <b v="1"/>
    <n v="1"/>
    <d v="1899-12-30T08:50:00"/>
    <s v="terror psicológico intenso"/>
    <s v="terror psicológico intenso"/>
    <x v="0"/>
    <b v="1"/>
    <b v="0"/>
    <n v="5.39416666666666E-3"/>
    <n v="5"/>
    <s v="The Moro Affair"/>
    <n v="0.32169999999999999"/>
    <m/>
    <m/>
    <m/>
    <m/>
    <m/>
    <n v="1"/>
    <n v="0"/>
  </r>
  <r>
    <s v="9faee408-70a7-4545-9f21-556707db7ba8"/>
    <s v="57 318 0958793"/>
    <d v="2026-05-02T00:00:00"/>
    <s v="RAG"/>
    <b v="1"/>
    <n v="1"/>
    <d v="1899-12-30T06:56:00"/>
    <s v="películas de acción con artes marciales"/>
    <s v="películas de acción con artes marciales"/>
    <x v="0"/>
    <b v="1"/>
    <b v="0"/>
    <n v="3.7285666666666598E-3"/>
    <n v="5"/>
    <s v="Chacrinha: Eu Vim para Confundir e Não para Explicar"/>
    <n v="0.2601"/>
    <m/>
    <m/>
    <m/>
    <m/>
    <m/>
    <n v="1"/>
    <n v="0"/>
  </r>
  <r>
    <s v="9fea5e94-28b1-4cc5-8891-a5e15fcfc58c"/>
    <s v="57 316 4349561"/>
    <d v="2026-05-02T00:00:00"/>
    <s v="DIRECT"/>
    <b v="0"/>
    <n v="1"/>
    <d v="1899-12-30T09:54:00"/>
    <s v="películas tipo The Matrix"/>
    <s v="películas tipo The Matrix"/>
    <x v="1"/>
    <b v="0"/>
    <b v="0"/>
    <n v="4.9782000000000003E-3"/>
    <n v="5"/>
    <s v="Egypt: Secrets of the Pharaohs"/>
    <n v="0.23280000000000001"/>
    <m/>
    <m/>
    <m/>
    <m/>
    <m/>
    <n v="1"/>
    <n v="0"/>
  </r>
  <r>
    <s v="a41a1a66-aa0b-4d9c-bb71-32775f079515"/>
    <s v="57 316 6832011"/>
    <d v="2026-05-02T00:00:00"/>
    <s v="DIRECT"/>
    <b v="0"/>
    <n v="1"/>
    <d v="1899-12-30T18:24:00"/>
    <s v="terror con suspenso pero sin mucha sangre"/>
    <s v="terror con suspenso pero sin mucha sangre"/>
    <x v="1"/>
    <b v="0"/>
    <b v="0"/>
    <n v="8.4216166666666592E-3"/>
    <n v="5"/>
    <s v="The Moro Affair"/>
    <n v="0.37580000000000002"/>
    <m/>
    <m/>
    <m/>
    <m/>
    <m/>
    <n v="1"/>
    <n v="0"/>
  </r>
  <r>
    <s v="a44d3c73-0780-4ca9-a01d-e0c9f5e5e38f"/>
    <s v="57 312 7333746"/>
    <d v="2026-05-02T00:00:00"/>
    <s v="RAG"/>
    <b v="1"/>
    <n v="1"/>
    <d v="1899-12-30T21:22:00"/>
    <s v="romance con triángulo amoroso"/>
    <s v="romance con triángulo amoroso"/>
    <x v="0"/>
    <b v="1"/>
    <b v="0"/>
    <n v="6.2620666666666604E-3"/>
    <n v="5"/>
    <s v="Pobre novio"/>
    <n v="0.81369999999999998"/>
    <m/>
    <m/>
    <m/>
    <m/>
    <m/>
    <n v="1"/>
    <n v="0"/>
  </r>
  <r>
    <s v="a486a7aa-bb49-421f-bfed-c444d0b7dbd8"/>
    <s v="57 317 5145845"/>
    <d v="2026-05-02T00:00:00"/>
    <s v="RAG"/>
    <b v="1"/>
    <n v="1"/>
    <d v="1899-12-30T06:38:00"/>
    <s v="ciencia ficción con distopías"/>
    <s v="ciencia ficción con distopías"/>
    <x v="0"/>
    <b v="1"/>
    <b v="0"/>
    <n v="3.1513833333333299E-3"/>
    <n v="5"/>
    <s v="Anche se è amore non si vede"/>
    <n v="0.27900000000000003"/>
    <m/>
    <m/>
    <m/>
    <m/>
    <m/>
    <n v="1"/>
    <n v="0"/>
  </r>
  <r>
    <s v="a88ad8a1-21bc-4622-ad45-c507a2dc7406"/>
    <s v="57 317 7292458"/>
    <d v="2026-05-02T00:00:00"/>
    <s v="DIRECT"/>
    <b v="0"/>
    <n v="1"/>
    <d v="1899-12-30T21:31:00"/>
    <s v="acción con persecuciones y buena trama"/>
    <s v="acción con persecuciones y buena trama"/>
    <x v="1"/>
    <b v="0"/>
    <b v="0"/>
    <n v="6.19214999999999E-3"/>
    <n v="5"/>
    <s v="Sin compasión"/>
    <n v="0.27889999999999998"/>
    <m/>
    <m/>
    <m/>
    <m/>
    <m/>
    <n v="1"/>
    <n v="0"/>
  </r>
  <r>
    <s v="a8c128c7-7247-4ab0-9eaa-7be9d75fe037"/>
    <s v="57 314 6735906"/>
    <d v="2026-05-02T00:00:00"/>
    <s v="RAG"/>
    <b v="1"/>
    <n v="1"/>
    <d v="1899-12-30T18:33:00"/>
    <s v="romance juvenil pero no cursi"/>
    <s v="romance juvenil pero no cursi"/>
    <x v="0"/>
    <b v="1"/>
    <b v="0"/>
    <n v="6.0794999999999998E-3"/>
    <n v="5"/>
    <s v="Romance en tres noches"/>
    <n v="0.72199999999999998"/>
    <m/>
    <m/>
    <m/>
    <m/>
    <m/>
    <n v="1"/>
    <n v="0"/>
  </r>
  <r>
    <s v="a9814fdb-5a9e-4cc0-9fcc-3c4e656d43ef"/>
    <s v="57 316 9895209"/>
    <d v="2026-05-02T00:00:00"/>
    <s v="DIRECT"/>
    <b v="0"/>
    <n v="1"/>
    <d v="1899-12-30T07:19:00"/>
    <s v="ciencia ficción con realidades alternas"/>
    <s v="ciencia ficción con realidades alternas"/>
    <x v="1"/>
    <b v="0"/>
    <b v="0"/>
    <n v="4.0581333333333299E-3"/>
    <n v="5"/>
    <s v="Anche se è amore non si vede"/>
    <n v="0.26929999999999998"/>
    <m/>
    <m/>
    <m/>
    <m/>
    <m/>
    <n v="1"/>
    <n v="0"/>
  </r>
  <r>
    <s v="ae7c0f6b-5e43-4f68-b894-9086ae7fbb3d"/>
    <s v="57 312 5927931"/>
    <d v="2026-05-02T00:00:00"/>
    <s v="DIRECT"/>
    <b v="0"/>
    <n v="1"/>
    <d v="1899-12-30T12:57:00"/>
    <s v="películas tipo Shrek"/>
    <s v="películas tipo Shrek"/>
    <x v="1"/>
    <b v="0"/>
    <b v="0"/>
    <n v="4.5165833333333299E-3"/>
    <n v="5"/>
    <s v="Shrek 2"/>
    <n v="0.38229999999999997"/>
    <m/>
    <m/>
    <m/>
    <m/>
    <m/>
    <n v="1"/>
    <n v="0"/>
  </r>
  <r>
    <s v="af927052-e663-409e-8715-31bcf0bf8242"/>
    <s v="57 312 2057857"/>
    <d v="2026-05-02T00:00:00"/>
    <s v="DIRECT"/>
    <b v="0"/>
    <n v="1"/>
    <d v="1899-12-30T09:16:00"/>
    <s v="me gustó Inception, algo parecido"/>
    <s v="me gustó Inception, algo parecido"/>
    <x v="1"/>
    <b v="0"/>
    <b v="0"/>
    <n v="5.6363000000000003E-3"/>
    <n v="5"/>
    <s v="Wie man Wünsche beim Schwanz packt"/>
    <n v="0.25700000000000001"/>
    <m/>
    <m/>
    <m/>
    <m/>
    <m/>
    <n v="1"/>
    <n v="0"/>
  </r>
  <r>
    <s v="b1a340bc-524e-4031-8983-54f3020a7ce5"/>
    <s v="57 319 6921615"/>
    <d v="2026-05-02T00:00:00"/>
    <s v="DIRECT"/>
    <b v="0"/>
    <n v="1"/>
    <d v="1899-12-30T20:33:00"/>
    <s v="terror con tensión constante y buen final"/>
    <s v="terror con tensión constante y buen final"/>
    <x v="1"/>
    <b v="0"/>
    <b v="0"/>
    <n v="7.4619499999999898E-3"/>
    <n v="5"/>
    <s v="No Contest II"/>
    <n v="0.32069999999999999"/>
    <m/>
    <m/>
    <m/>
    <m/>
    <m/>
    <n v="1"/>
    <n v="0"/>
  </r>
  <r>
    <s v="b42556ec-b45f-4aa1-a013-f892bc51f8d0"/>
    <s v="57 316 4828258"/>
    <d v="2026-05-02T00:00:00"/>
    <s v="RAG"/>
    <b v="1"/>
    <n v="1"/>
    <d v="1899-12-30T10:19:00"/>
    <s v="pelis parecidas a Avatar"/>
    <s v="pelis parecidas a Avatar"/>
    <x v="0"/>
    <b v="1"/>
    <b v="0"/>
    <n v="5.0753500000000002E-3"/>
    <n v="5"/>
    <s v="Enrico IV"/>
    <n v="0.22939999999999999"/>
    <m/>
    <m/>
    <m/>
    <m/>
    <m/>
    <n v="1"/>
    <n v="0"/>
  </r>
  <r>
    <s v="b439263d-9a70-4e88-9b97-18a4c6695791"/>
    <s v="57 312 9060826"/>
    <d v="2026-05-02T00:00:00"/>
    <s v="RAG"/>
    <b v="1"/>
    <n v="1"/>
    <d v="1899-12-30T16:54:00"/>
    <s v="películas tipo Divergent"/>
    <s v="películas tipo Divergent"/>
    <x v="0"/>
    <b v="1"/>
    <b v="0"/>
    <n v="6.96365E-3"/>
    <n v="5"/>
    <s v="Después de… Primera parte: no se os puede dejar solos"/>
    <n v="0.1497"/>
    <m/>
    <m/>
    <m/>
    <m/>
    <m/>
    <n v="1"/>
    <n v="0"/>
  </r>
  <r>
    <s v="b61ffb17-4e31-43ee-aa80-668a1901865a"/>
    <s v="57 319 9401939"/>
    <d v="2026-05-02T00:00:00"/>
    <s v="RAG"/>
    <b v="1"/>
    <n v="1"/>
    <d v="1899-12-30T21:04:00"/>
    <s v="ciencia ficción con aliens pero enfoque humano"/>
    <s v="ciencia ficción con aliens pero enfoque humano"/>
    <x v="0"/>
    <b v="1"/>
    <b v="0"/>
    <n v="4.8192833333333303E-3"/>
    <n v="5"/>
    <s v="Jeff and Some Aliens"/>
    <n v="0.45729999999999998"/>
    <m/>
    <m/>
    <m/>
    <m/>
    <m/>
    <n v="1"/>
    <n v="0"/>
  </r>
  <r>
    <s v="113cd7fa-2da3-49fb-84d4-a131aa89f690"/>
    <s v="57 313 6587271"/>
    <d v="2026-05-02T00:00:00"/>
    <s v="DIRECT"/>
    <b v="0"/>
    <n v="1"/>
    <d v="1899-12-30T03:15:00"/>
    <s v="películas románticas con final feliz"/>
    <s v="películas románticas con final feliz"/>
    <x v="1"/>
    <b v="0"/>
    <b v="0"/>
    <n v="1.6735133333333301E-2"/>
    <n v="5"/>
    <s v="Along came Love"/>
    <n v="0.28199999999999997"/>
    <m/>
    <m/>
    <m/>
    <m/>
    <m/>
    <n v="1"/>
    <n v="0"/>
  </r>
  <r>
    <s v="b6c4987f-4733-43c3-9f8f-0e07f42a6c75"/>
    <s v="57 313 9067022"/>
    <d v="2026-05-02T00:00:00"/>
    <s v="DIRECT"/>
    <b v="0"/>
    <n v="1"/>
    <d v="1899-12-30T17:04:00"/>
    <s v="me gustó The Maze Runner, algo parecido"/>
    <s v="me gustó The Maze Runner, algo parecido"/>
    <x v="1"/>
    <b v="0"/>
    <b v="0"/>
    <n v="5.8482499999999897E-3"/>
    <n v="5"/>
    <s v="Labyrinth"/>
    <n v="0.36849999999999999"/>
    <m/>
    <m/>
    <m/>
    <m/>
    <m/>
    <n v="1"/>
    <n v="0"/>
  </r>
  <r>
    <s v="b74e8e3a-0fd4-45e5-872c-c3f9e496e015"/>
    <s v="57 318 7621817"/>
    <d v="2026-05-02T00:00:00"/>
    <s v="DIRECT"/>
    <b v="0"/>
    <n v="1"/>
    <d v="1899-12-30T17:24:00"/>
    <s v="películas tipo Blade Runner"/>
    <s v="películas tipo Blade Runner"/>
    <x v="1"/>
    <b v="0"/>
    <b v="0"/>
    <n v="3.1744500000000001E-3"/>
    <n v="5"/>
    <s v="Philip K. Dick's Electric Dreams"/>
    <n v="0.37119999999999997"/>
    <m/>
    <m/>
    <m/>
    <m/>
    <m/>
    <n v="1"/>
    <n v="0"/>
  </r>
  <r>
    <s v="bb13f14e-1435-4834-9f44-cabff8af6254"/>
    <s v="57 318 7317680"/>
    <d v="2026-05-02T00:00:00"/>
    <s v="RAG"/>
    <b v="1"/>
    <n v="1"/>
    <d v="1899-12-30T09:08:00"/>
    <s v="romance emocional"/>
    <s v="romance emocional"/>
    <x v="0"/>
    <b v="1"/>
    <b v="0"/>
    <n v="9.4460666666666606E-3"/>
    <n v="5"/>
    <s v="Tastefully Yours"/>
    <n v="0.76929999999999998"/>
    <m/>
    <m/>
    <m/>
    <m/>
    <m/>
    <n v="1"/>
    <n v="0"/>
  </r>
  <r>
    <s v="bb8761a3-fef4-4a8d-b17b-409526441dba"/>
    <s v="57 316 7678379"/>
    <d v="2026-05-02T00:00:00"/>
    <s v="RAG"/>
    <b v="1"/>
    <n v="1"/>
    <d v="1899-12-30T14:12:00"/>
    <s v="películas tipo Transformers"/>
    <s v="películas tipo Transformers"/>
    <x v="0"/>
    <b v="1"/>
    <b v="0"/>
    <n v="3.4782833333333301E-3"/>
    <n v="5"/>
    <s v="Transformers: EarthSpark"/>
    <n v="0.2054"/>
    <m/>
    <m/>
    <m/>
    <m/>
    <m/>
    <n v="1"/>
    <n v="0"/>
  </r>
  <r>
    <s v="bc051646-3812-4662-bb5e-266691395ba5"/>
    <s v="57 314 7337704"/>
    <d v="2026-05-02T00:00:00"/>
    <s v="DIRECT"/>
    <b v="0"/>
    <n v="1"/>
    <d v="1899-12-30T15:33:00"/>
    <s v="películas tipo The Social Network"/>
    <s v="películas tipo The Social Network"/>
    <x v="1"/>
    <b v="0"/>
    <b v="0"/>
    <n v="5.8926166666666601E-3"/>
    <n v="5"/>
    <s v="Extraordinary Attorney Woo"/>
    <n v="0.44490000000000002"/>
    <m/>
    <m/>
    <m/>
    <m/>
    <m/>
    <n v="1"/>
    <n v="0"/>
  </r>
  <r>
    <s v="bc7550b2-cda6-48f9-a637-f5acbab71e06"/>
    <s v="57 312 5470342"/>
    <d v="2026-05-02T00:00:00"/>
    <s v="DIRECT"/>
    <b v="0"/>
    <n v="1"/>
    <d v="1899-12-30T22:00:00"/>
    <s v="acción con artes marciales y buena historia"/>
    <s v="acción con artes marciales y buena historia"/>
    <x v="1"/>
    <b v="0"/>
    <b v="0"/>
    <n v="2.88263333333333E-3"/>
    <n v="5"/>
    <s v="Una mano bajo la nieve y otras historias"/>
    <n v="0.36099999999999999"/>
    <m/>
    <m/>
    <m/>
    <m/>
    <m/>
    <n v="1"/>
    <n v="0"/>
  </r>
  <r>
    <s v="bcb990a4-2d1b-407f-b3a2-7f7441788e5c"/>
    <s v="57 318 5518733"/>
    <d v="2026-05-02T00:00:00"/>
    <s v="DIRECT"/>
    <b v="0"/>
    <n v="1"/>
    <d v="1899-12-30T18:06:00"/>
    <s v="acción con toques de humor"/>
    <s v="acción con toques de humor"/>
    <x v="1"/>
    <b v="0"/>
    <b v="0"/>
    <n v="5.5268000000000001E-3"/>
    <n v="5"/>
    <s v="Che Kopete: The Movie"/>
    <n v="0.36880000000000002"/>
    <m/>
    <m/>
    <m/>
    <m/>
    <m/>
    <n v="1"/>
    <n v="0"/>
  </r>
  <r>
    <s v="be7f21bc-ae54-43eb-891a-f5eee1a9ca82"/>
    <s v="57 312 5177049"/>
    <d v="2026-05-02T00:00:00"/>
    <s v="DIRECT"/>
    <b v="0"/>
    <n v="1"/>
    <d v="1899-12-30T07:01:00"/>
    <s v="romance juvenil"/>
    <s v="romance juvenil"/>
    <x v="1"/>
    <b v="0"/>
    <b v="0"/>
    <n v="3.4728333333333299E-3"/>
    <n v="5"/>
    <s v="Tastefully Yours"/>
    <n v="0.76929999999999998"/>
    <m/>
    <m/>
    <m/>
    <m/>
    <m/>
    <n v="1"/>
    <n v="0"/>
  </r>
  <r>
    <s v="c3c2883a-d5d9-489b-b7b5-bca1a55ec3ac"/>
    <s v="57 313 4144412"/>
    <d v="2026-05-02T00:00:00"/>
    <s v="RAG"/>
    <b v="1"/>
    <n v="1"/>
    <d v="1899-12-30T22:32:00"/>
    <s v="romance adolescente con crecimiento personal"/>
    <s v="romance adolescente con crecimiento personal"/>
    <x v="0"/>
    <b v="1"/>
    <b v="0"/>
    <n v="1.5278099999999999E-2"/>
    <n v="5"/>
    <s v="Sullivan's Crossing"/>
    <n v="0.88949999999999996"/>
    <m/>
    <m/>
    <m/>
    <m/>
    <m/>
    <n v="1"/>
    <n v="0"/>
  </r>
  <r>
    <s v="c685f229-20c6-47c5-9097-5615d6d46973"/>
    <s v="57 311 1801838"/>
    <d v="2026-05-02T00:00:00"/>
    <s v="RAG"/>
    <b v="1"/>
    <n v="1"/>
    <d v="1899-12-30T04:46:00"/>
    <s v="romance con drama"/>
    <s v="romance con drama"/>
    <x v="0"/>
    <b v="1"/>
    <b v="0"/>
    <n v="3.4897833333333299E-3"/>
    <n v="5"/>
    <s v="Sullivan's Crossing"/>
    <n v="0.99939999999999996"/>
    <m/>
    <m/>
    <m/>
    <m/>
    <m/>
    <n v="1"/>
    <n v="0"/>
  </r>
  <r>
    <s v="d1b038ab-4527-4202-927d-e41c8b2f57f9"/>
    <s v="57 315 0484171"/>
    <d v="2026-05-02T00:00:00"/>
    <s v="RAG"/>
    <b v="1"/>
    <n v="1"/>
    <d v="1899-12-30T06:12:00"/>
    <s v="terror con monstruos"/>
    <s v="terror con monstruos"/>
    <x v="0"/>
    <b v="1"/>
    <b v="0"/>
    <n v="4.7104333333333297E-3"/>
    <n v="5"/>
    <s v="Furia"/>
    <n v="0.34960000000000002"/>
    <m/>
    <m/>
    <m/>
    <m/>
    <m/>
    <n v="1"/>
    <n v="0"/>
  </r>
  <r>
    <s v="d44f2de6-e6a4-4672-b095-263d0f80e2c6"/>
    <s v="57 318 5098659"/>
    <d v="2026-05-02T00:00:00"/>
    <s v="DIRECT"/>
    <b v="0"/>
    <n v="1"/>
    <d v="1899-12-30T13:32:00"/>
    <s v="me gustó It, algo parecido"/>
    <s v="me gustó It, algo parecido"/>
    <x v="1"/>
    <b v="0"/>
    <b v="0"/>
    <n v="5.3808333333333304E-3"/>
    <n v="5"/>
    <s v="Millonario a go-go"/>
    <n v="0.2311"/>
    <m/>
    <m/>
    <m/>
    <m/>
    <m/>
    <n v="1"/>
    <n v="0"/>
  </r>
  <r>
    <s v="d52822bc-cce8-4cac-8029-aacfc397fb2f"/>
    <s v="57 317 5515909"/>
    <d v="2026-05-02T00:00:00"/>
    <s v="RAG"/>
    <b v="1"/>
    <n v="1"/>
    <d v="1899-12-30T18:13:00"/>
    <s v="ciencia ficción pero fácil de entender"/>
    <s v="ciencia ficción pero fácil de entender"/>
    <x v="0"/>
    <b v="1"/>
    <b v="0"/>
    <n v="3.9369000000000001E-3"/>
    <n v="5"/>
    <s v="The World's Gold"/>
    <n v="0.27689999999999998"/>
    <m/>
    <m/>
    <m/>
    <m/>
    <m/>
    <n v="1"/>
    <n v="0"/>
  </r>
  <r>
    <s v="d9a4ee6d-4d0a-460a-b0e6-e47e9a46b056"/>
    <s v="57 316 6560294"/>
    <d v="2026-05-02T00:00:00"/>
    <s v="DIRECT"/>
    <b v="0"/>
    <n v="1"/>
    <d v="1899-12-30T23:17:00"/>
    <s v="acción con misiones y equipo"/>
    <s v="acción con misiones y equipo"/>
    <x v="1"/>
    <b v="0"/>
    <b v="0"/>
    <n v="4.12445E-3"/>
    <n v="5"/>
    <s v="Illiterate"/>
    <n v="0.2281"/>
    <m/>
    <m/>
    <m/>
    <m/>
    <m/>
    <n v="1"/>
    <n v="0"/>
  </r>
  <r>
    <s v="daf75909-0a53-4801-8371-8fdf42b62493"/>
    <s v="57 311 8411652"/>
    <d v="2026-05-02T00:00:00"/>
    <s v="DIRECT"/>
    <b v="0"/>
    <n v="1"/>
    <d v="1899-12-30T22:15:00"/>
    <s v="terror con monstruos pero más suspenso que sustos"/>
    <s v="terror con monstruos pero más suspenso que sustos"/>
    <x v="1"/>
    <b v="0"/>
    <b v="0"/>
    <n v="4.7973666666666602E-3"/>
    <n v="5"/>
    <s v="Juro que te amo"/>
    <n v="0.42899999999999999"/>
    <m/>
    <m/>
    <m/>
    <m/>
    <m/>
    <n v="1"/>
    <n v="0"/>
  </r>
  <r>
    <s v="dc5e7ca9-438f-41e5-a566-037503084f22"/>
    <s v="57 314 0640839"/>
    <d v="2026-05-02T00:00:00"/>
    <s v="DIRECT"/>
    <b v="0"/>
    <n v="1"/>
    <d v="1899-12-30T12:03:00"/>
    <s v="películas tipo Harry Potter"/>
    <s v="películas tipo Harry Potter"/>
    <x v="1"/>
    <b v="0"/>
    <b v="0"/>
    <n v="3.2978500000000002E-3"/>
    <n v="5"/>
    <s v="The World's Gold"/>
    <n v="0.2235"/>
    <m/>
    <m/>
    <m/>
    <m/>
    <m/>
    <n v="1"/>
    <n v="0"/>
  </r>
  <r>
    <s v="e4f3b9f6-d8ce-430f-9912-fc5f90bd584c"/>
    <s v="57 314 7329703"/>
    <d v="2026-05-02T00:00:00"/>
    <s v="RAG"/>
    <b v="1"/>
    <n v="1"/>
    <d v="1899-12-30T15:42:00"/>
    <s v="me gustó Whiplash, algo parecido"/>
    <s v="me gustó Whiplash, algo parecido"/>
    <x v="0"/>
    <b v="1"/>
    <b v="0"/>
    <n v="5.6088333333333303E-3"/>
    <n v="5"/>
    <s v="Drag Race Philippines Untucked!"/>
    <n v="0.21260000000000001"/>
    <m/>
    <m/>
    <m/>
    <m/>
    <m/>
    <n v="1"/>
    <n v="0"/>
  </r>
  <r>
    <s v="27f3ce91-1ed7-40b2-b25c-f66efcd5a9f9"/>
    <s v="57 317 8517661"/>
    <d v="2026-04-26T00:00:00"/>
    <s v="RAG"/>
    <b v="1"/>
    <n v="2"/>
    <d v="1899-12-30T23:47:00"/>
    <s v="Películas románticas emotivas"/>
    <s v="Películas románticas emotivas"/>
    <x v="0"/>
    <b v="1"/>
    <b v="0"/>
    <n v="1.00807E-2"/>
    <n v="5"/>
    <s v="Along came Love"/>
    <n v="0.27979999999999999"/>
    <n v="5"/>
    <n v="10"/>
    <s v="promoter"/>
    <s v="yes"/>
    <n v="3"/>
    <n v="1"/>
    <n v="1"/>
  </r>
  <r>
    <s v="e713624e-b1e9-4311-8d48-c2ff8fafdbb7"/>
    <s v="57 317 1263569"/>
    <d v="2026-05-02T00:00:00"/>
    <s v="RAG"/>
    <b v="1"/>
    <n v="1"/>
    <d v="1899-12-30T08:13:00"/>
    <s v="películas de acción intensas"/>
    <s v="películas de acción intensas"/>
    <x v="0"/>
    <b v="1"/>
    <b v="0"/>
    <n v="3.23673333333333E-3"/>
    <n v="5"/>
    <s v="Muchachos, la película de la gente"/>
    <n v="0.16880000000000001"/>
    <m/>
    <m/>
    <m/>
    <m/>
    <m/>
    <n v="1"/>
    <n v="0"/>
  </r>
  <r>
    <s v="e7ad220e-2122-47a4-b2a2-fd3bf9ad91f7"/>
    <s v="57 316 5580667"/>
    <d v="2026-05-02T00:00:00"/>
    <s v="DIRECT"/>
    <b v="0"/>
    <n v="1"/>
    <d v="1899-12-30T15:50:00"/>
    <s v="algo como Bohemian Rhapsody"/>
    <s v="algo como Bohemian Rhapsody"/>
    <x v="1"/>
    <b v="0"/>
    <b v="0"/>
    <n v="5.76065E-3"/>
    <n v="5"/>
    <s v="Bohemian Rhapsody"/>
    <n v="0.64219999999999999"/>
    <m/>
    <m/>
    <m/>
    <m/>
    <m/>
    <n v="1"/>
    <n v="0"/>
  </r>
  <r>
    <s v="e80bca83-c6a1-4d1f-a068-b0f0d2ac74da"/>
    <s v="57 315 5815822"/>
    <d v="2026-05-02T00:00:00"/>
    <s v="RAG"/>
    <b v="1"/>
    <n v="1"/>
    <d v="1899-12-30T16:39:00"/>
    <s v="me gustó Mad Max, algo así"/>
    <s v="me gustó Mad Max, algo así"/>
    <x v="0"/>
    <b v="1"/>
    <b v="0"/>
    <n v="5.9977499999999996E-3"/>
    <n v="5"/>
    <s v="¡Qué madre, tan padre!"/>
    <n v="0.26279999999999998"/>
    <m/>
    <m/>
    <m/>
    <m/>
    <m/>
    <n v="1"/>
    <n v="0"/>
  </r>
  <r>
    <s v="e81b9f1a-e8bb-4b70-9415-db166e5882ec"/>
    <s v="57 311 2353367"/>
    <d v="2026-05-02T00:00:00"/>
    <s v="RAG"/>
    <b v="1"/>
    <n v="1"/>
    <d v="1899-12-30T05:24:00"/>
    <s v="películas de acción con persecuciones"/>
    <s v="películas de acción con persecuciones"/>
    <x v="0"/>
    <b v="1"/>
    <b v="0"/>
    <n v="5.5207166666666604E-3"/>
    <n v="5"/>
    <s v="Después de… Primera parte: no se os puede dejar solos"/>
    <n v="0.2044"/>
    <m/>
    <m/>
    <m/>
    <m/>
    <m/>
    <n v="1"/>
    <n v="0"/>
  </r>
  <r>
    <s v="f01a287a-c1e6-4212-9fb4-c323a618bf16"/>
    <s v="57 311 8375214"/>
    <d v="2026-05-02T00:00:00"/>
    <s v="DIRECT"/>
    <b v="0"/>
    <n v="1"/>
    <d v="1899-12-30T21:45:00"/>
    <s v="terror con casa embrujada pero bien ambientado"/>
    <s v="terror con casa embrujada pero bien ambientado"/>
    <x v="1"/>
    <b v="0"/>
    <b v="0"/>
    <n v="3.9127666666666601E-3"/>
    <n v="5"/>
    <s v="La Casa de los Famosos México"/>
    <n v="0.3538"/>
    <m/>
    <m/>
    <m/>
    <m/>
    <m/>
    <n v="1"/>
    <n v="0"/>
  </r>
  <r>
    <s v="f03b4474-e3a1-4a04-87b4-f4ed580c5fbf"/>
    <s v="57 313 5918017"/>
    <d v="2026-05-02T00:00:00"/>
    <s v="RAG"/>
    <b v="1"/>
    <n v="1"/>
    <d v="1899-12-30T14:48:00"/>
    <s v="me gustó Bird Box, algo similar"/>
    <s v="me gustó Bird Box, algo similar"/>
    <x v="0"/>
    <b v="1"/>
    <b v="0"/>
    <n v="4.4690833333333301E-3"/>
    <n v="5"/>
    <s v="The New Woody Woodpecker Show"/>
    <n v="0.36580000000000001"/>
    <m/>
    <m/>
    <m/>
    <m/>
    <m/>
    <n v="1"/>
    <n v="0"/>
  </r>
  <r>
    <s v="f0cc0d46-51b5-4f6d-b2e7-650ff0b7ac2e"/>
    <s v="57 312 4123270"/>
    <d v="2026-05-02T00:00:00"/>
    <s v="DIRECT"/>
    <b v="0"/>
    <n v="1"/>
    <d v="1899-12-30T13:17:00"/>
    <s v="algo como Gladiator"/>
    <s v="algo como Gladiator"/>
    <x v="1"/>
    <b v="0"/>
    <b v="0"/>
    <n v="5.3186333333333303E-3"/>
    <n v="5"/>
    <s v="Colossus of the Arena"/>
    <n v="0.64980000000000004"/>
    <m/>
    <m/>
    <m/>
    <m/>
    <m/>
    <n v="1"/>
    <n v="0"/>
  </r>
  <r>
    <s v="f369af74-eff9-4c0b-83fa-a411d5f235f5"/>
    <s v="57 319 2897981"/>
    <d v="2026-05-02T00:00:00"/>
    <s v="RAG"/>
    <b v="1"/>
    <n v="1"/>
    <d v="1899-12-30T13:41:00"/>
    <s v="algo como Annabelle"/>
    <s v="algo como Annabelle"/>
    <x v="0"/>
    <b v="1"/>
    <b v="0"/>
    <n v="5.2490666666666604E-3"/>
    <n v="5"/>
    <s v="Annabelle: Creation"/>
    <n v="0.35880000000000001"/>
    <m/>
    <m/>
    <m/>
    <m/>
    <m/>
    <n v="1"/>
    <n v="0"/>
  </r>
  <r>
    <s v="f459e39f-e3d2-4dfe-876f-d418021e5951"/>
    <s v="57 312 0405617"/>
    <d v="2026-05-02T00:00:00"/>
    <s v="RAG"/>
    <b v="1"/>
    <n v="1"/>
    <d v="1899-12-30T08:30:00"/>
    <s v="películas de intriga política"/>
    <s v="películas de intriga política"/>
    <x v="0"/>
    <b v="1"/>
    <b v="0"/>
    <n v="4.9783333333333303E-3"/>
    <n v="5"/>
    <s v="A Man Called Magnum"/>
    <n v="0.2374"/>
    <m/>
    <m/>
    <m/>
    <m/>
    <m/>
    <n v="1"/>
    <n v="0"/>
  </r>
  <r>
    <s v="f609de6c-8d58-4448-8d95-a5096ef68009"/>
    <s v="57 314 9843166"/>
    <d v="2026-05-02T00:00:00"/>
    <s v="RAG"/>
    <b v="1"/>
    <n v="1"/>
    <d v="1899-12-30T19:46:00"/>
    <s v="ciencia ficción con viajes en el tiempo y romance"/>
    <s v="ciencia ficción con viajes en el tiempo y romance"/>
    <x v="0"/>
    <b v="1"/>
    <b v="0"/>
    <n v="4.23306666666666E-3"/>
    <n v="5"/>
    <s v="Pobre novio"/>
    <n v="0.81369999999999998"/>
    <m/>
    <m/>
    <m/>
    <m/>
    <m/>
    <n v="1"/>
    <n v="0"/>
  </r>
  <r>
    <s v="f6d7bc5b-766d-4677-96cb-09aceee3d921"/>
    <s v="57 315 9599689"/>
    <d v="2026-05-02T00:00:00"/>
    <s v="RAG"/>
    <b v="1"/>
    <n v="1"/>
    <d v="1899-12-30T10:32:00"/>
    <s v="películas tipo Joker"/>
    <s v="películas tipo Joker"/>
    <x v="0"/>
    <b v="1"/>
    <b v="0"/>
    <n v="3.9781833333333303E-3"/>
    <n v="5"/>
    <s v="Egypt: Secrets of the Pharaohs"/>
    <n v="0.2422"/>
    <m/>
    <m/>
    <m/>
    <m/>
    <m/>
    <n v="1"/>
    <n v="0"/>
  </r>
  <r>
    <s v="f74c5c66-492b-4029-9168-59ef16a4f530"/>
    <s v="57 318 5799011"/>
    <d v="2026-05-02T00:00:00"/>
    <s v="DIRECT"/>
    <b v="0"/>
    <n v="1"/>
    <d v="1899-12-30T17:51:00"/>
    <s v="terror psicológico pero no muy fuerte"/>
    <s v="terror psicológico pero no muy fuerte"/>
    <x v="1"/>
    <b v="0"/>
    <b v="0"/>
    <n v="4.41751666666666E-3"/>
    <n v="5"/>
    <s v="The Moro Affair"/>
    <n v="0.32279999999999998"/>
    <m/>
    <m/>
    <m/>
    <m/>
    <m/>
    <n v="1"/>
    <n v="0"/>
  </r>
  <r>
    <s v="f7c7aac5-00cd-4916-a3b3-014ec5024070"/>
    <s v="57 316 7846212"/>
    <d v="2026-05-02T00:00:00"/>
    <s v="DIRECT"/>
    <b v="0"/>
    <n v="1"/>
    <d v="1899-12-30T12:17:00"/>
    <s v="algo como Fast and Furious"/>
    <s v="algo como Fast and Furious"/>
    <x v="1"/>
    <b v="0"/>
    <b v="0"/>
    <n v="5.0299666666666597E-3"/>
    <n v="5"/>
    <s v="Fast &amp; Furious Spy Racers"/>
    <n v="0.51990000000000003"/>
    <m/>
    <m/>
    <m/>
    <m/>
    <m/>
    <n v="1"/>
    <n v="0"/>
  </r>
  <r>
    <s v="f7df6d6a-dbb1-47f5-bdfd-0f9db0ab05c8"/>
    <s v="57 313 8746713"/>
    <d v="2026-05-02T00:00:00"/>
    <s v="DIRECT"/>
    <b v="0"/>
    <n v="1"/>
    <d v="1899-12-30T15:09:00"/>
    <s v="me gustó Gone Girl, algo así"/>
    <s v="me gustó Gone Girl, algo así"/>
    <x v="1"/>
    <b v="0"/>
    <b v="0"/>
    <n v="4.1581333333333302E-3"/>
    <n v="5"/>
    <s v="Fate/kaleid liner Prisma☆Illya 2wei!: Magical Girl in Hot Springs Inn"/>
    <n v="0.35959999999999998"/>
    <m/>
    <m/>
    <m/>
    <m/>
    <m/>
    <n v="1"/>
    <n v="0"/>
  </r>
  <r>
    <s v="f9006061-fd6a-4a5f-9148-3ed6fc9c23d1"/>
    <s v="57 312 9928043"/>
    <d v="2026-05-02T00:00:00"/>
    <s v="RAG"/>
    <b v="1"/>
    <n v="1"/>
    <d v="1899-12-30T20:05:00"/>
    <s v="romance dramático pero esperanzador"/>
    <s v="romance dramático pero esperanzador"/>
    <x v="0"/>
    <b v="1"/>
    <b v="0"/>
    <n v="5.9605999999999999E-3"/>
    <n v="5"/>
    <s v="Tastefully Yours"/>
    <n v="0.76929999999999998"/>
    <m/>
    <m/>
    <m/>
    <m/>
    <m/>
    <n v="1"/>
    <n v="0"/>
  </r>
  <r>
    <s v="f9050c1c-c4e0-4bf5-aacf-cb52bb2ddd67"/>
    <s v="57 319 3132468"/>
    <d v="2026-05-02T00:00:00"/>
    <s v="DIRECT"/>
    <b v="0"/>
    <n v="1"/>
    <d v="1899-12-30T08:42:00"/>
    <s v="ciencia ficción con robots avanzados"/>
    <s v="ciencia ficción con robots avanzados"/>
    <x v="1"/>
    <b v="0"/>
    <b v="0"/>
    <n v="8.4273666666666597E-3"/>
    <n v="5"/>
    <s v="Time of Eve"/>
    <n v="0.373"/>
    <m/>
    <m/>
    <m/>
    <m/>
    <m/>
    <n v="1"/>
    <n v="0"/>
  </r>
  <r>
    <s v="fa640d8d-a381-4d86-a6ab-8757bc805b6e"/>
    <s v="57 311 1003990"/>
    <d v="2026-05-02T00:00:00"/>
    <s v="RAG"/>
    <b v="1"/>
    <n v="1"/>
    <d v="1899-12-30T11:57:00"/>
    <s v="algo como Toy Story"/>
    <s v="algo como Toy Story"/>
    <x v="0"/>
    <b v="1"/>
    <b v="0"/>
    <n v="7.3962666666666597E-3"/>
    <n v="5"/>
    <s v="Toy Story 2"/>
    <n v="0.50629999999999997"/>
    <m/>
    <m/>
    <m/>
    <m/>
    <m/>
    <n v="1"/>
    <n v="0"/>
  </r>
  <r>
    <s v="fc99b647-fda9-4158-961f-abcb962eb116"/>
    <s v="57 311 5188533"/>
    <d v="2026-05-02T00:00:00"/>
    <s v="RAG"/>
    <b v="1"/>
    <n v="1"/>
    <d v="1899-12-30T23:30:00"/>
    <s v="ciencia ficción con experimentos y consecuencias"/>
    <s v="ciencia ficción con experimentos y consecuencias"/>
    <x v="0"/>
    <b v="1"/>
    <b v="0"/>
    <n v="1.023725E-2"/>
    <n v="5"/>
    <s v="Jerrod Carmichael Reality Show"/>
    <n v="0.27360000000000001"/>
    <m/>
    <m/>
    <m/>
    <m/>
    <m/>
    <n v="1"/>
    <n v="0"/>
  </r>
  <r>
    <s v="ffed07ce-7f6b-406e-be82-86a7a6729c71"/>
    <s v="57 319 4487542"/>
    <d v="2026-05-02T00:00:00"/>
    <s v="RAG"/>
    <b v="1"/>
    <n v="1"/>
    <d v="1899-12-30T19:31:00"/>
    <s v="romance con algo de comedia ligera"/>
    <s v="romance con algo de comedia ligera"/>
    <x v="0"/>
    <b v="1"/>
    <b v="0"/>
    <n v="7.9631500000000004E-3"/>
    <n v="5"/>
    <s v="Pobre novio"/>
    <n v="0.81369999999999998"/>
    <m/>
    <m/>
    <m/>
    <m/>
    <m/>
    <n v="1"/>
    <n v="0"/>
  </r>
  <r>
    <s v="064995ae-bfea-4c8f-b31d-2b7fa5749d2d"/>
    <s v="57 315 9761750"/>
    <d v="2026-05-03T00:00:00"/>
    <s v="DIRECT"/>
    <b v="0"/>
    <n v="1"/>
    <d v="1899-12-30T09:35:00"/>
    <s v="una película que tenga acción pero también historia"/>
    <s v="una película que tenga acción pero también historia"/>
    <x v="1"/>
    <b v="0"/>
    <b v="0"/>
    <n v="2.8752833333333299E-3"/>
    <n v="5"/>
    <s v="Juro que te amo"/>
    <n v="0.44290000000000002"/>
    <m/>
    <m/>
    <m/>
    <m/>
    <m/>
    <n v="1"/>
    <n v="0"/>
  </r>
  <r>
    <s v="06967f73-bcca-44c7-994d-af36009b7e2e"/>
    <s v="57 318 4101154"/>
    <d v="2026-05-03T00:00:00"/>
    <s v="DIRECT"/>
    <b v="0"/>
    <n v="1"/>
    <d v="1899-12-30T07:56:00"/>
    <s v="algo entretenido de ver"/>
    <s v="algo entretenido de ver"/>
    <x v="1"/>
    <b v="0"/>
    <b v="0"/>
    <n v="3.9645166666666598E-3"/>
    <n v="5"/>
    <s v="Helga y Flora"/>
    <n v="0.246"/>
    <m/>
    <m/>
    <m/>
    <m/>
    <m/>
    <n v="1"/>
    <n v="0"/>
  </r>
  <r>
    <s v="0b9701bb-4010-45d3-a1f4-75184e551c08"/>
    <s v="57 318 9734494"/>
    <d v="2026-05-03T00:00:00"/>
    <s v="RAG"/>
    <b v="1"/>
    <n v="1"/>
    <d v="1899-12-30T12:55:00"/>
    <s v="una peli que tenga buena vibra pero no sea tonta"/>
    <s v="una peli que tenga buena vibra pero no sea tonta"/>
    <x v="0"/>
    <b v="1"/>
    <b v="0"/>
    <n v="4.23289999999999E-3"/>
    <n v="5"/>
    <s v="Juro que te amo"/>
    <n v="0.45540000000000003"/>
    <m/>
    <m/>
    <m/>
    <m/>
    <m/>
    <n v="1"/>
    <n v="0"/>
  </r>
  <r>
    <s v="0f8b84f1-0222-4e2b-886b-32002ef903ef"/>
    <s v="57 314 7195441"/>
    <d v="2026-05-03T00:00:00"/>
    <s v="DIRECT"/>
    <b v="0"/>
    <n v="1"/>
    <d v="1899-12-30T14:04:00"/>
    <s v="una peli que tenga buen balance entre acción y historia"/>
    <s v="una peli que tenga buen balance entre acción y historia"/>
    <x v="1"/>
    <b v="0"/>
    <b v="0"/>
    <n v="6.7536333333333299E-3"/>
    <n v="5"/>
    <s v="Juro que te amo"/>
    <n v="0.39689999999999998"/>
    <m/>
    <m/>
    <m/>
    <m/>
    <m/>
    <n v="1"/>
    <n v="0"/>
  </r>
  <r>
    <s v="1061862c-38ab-44d6-bf69-2b7535d69fab"/>
    <s v="57 319 8355974"/>
    <d v="2026-05-03T00:00:00"/>
    <s v="RAG"/>
    <b v="1"/>
    <n v="1"/>
    <d v="1899-12-30T00:24:00"/>
    <s v="romance complicado pero realista"/>
    <s v="romance complicado pero realista"/>
    <x v="0"/>
    <b v="1"/>
    <b v="0"/>
    <n v="9.4543333333333302E-3"/>
    <n v="5"/>
    <s v="Tastefully Yours"/>
    <n v="0.76929999999999998"/>
    <m/>
    <m/>
    <m/>
    <m/>
    <m/>
    <n v="1"/>
    <n v="0"/>
  </r>
  <r>
    <s v="16003f48-1bca-4c96-a0ad-5939d368e299"/>
    <s v="57 316 3227306"/>
    <d v="2026-05-03T00:00:00"/>
    <s v="DIRECT"/>
    <b v="0"/>
    <n v="1"/>
    <d v="1899-12-30T10:11:00"/>
    <s v="algo que sea entretenido pero con sentido"/>
    <s v="algo que sea entretenido pero con sentido"/>
    <x v="1"/>
    <b v="0"/>
    <b v="0"/>
    <n v="1.0812550000000001E-2"/>
    <n v="5"/>
    <s v="Juro que te amo"/>
    <n v="0.47849999999999998"/>
    <m/>
    <m/>
    <m/>
    <m/>
    <m/>
    <n v="1"/>
    <n v="0"/>
  </r>
  <r>
    <s v="1b53fd54-2dd1-4a3c-bb2e-a6d5e9fd8426"/>
    <s v="57 312 5941284"/>
    <d v="2026-05-03T00:00:00"/>
    <s v="DIRECT"/>
    <b v="0"/>
    <n v="1"/>
    <d v="1899-12-30T13:36:00"/>
    <s v="quiero algo que me enganche sin necesidad de pensar mucho"/>
    <s v="quiero algo que me enganche sin necesidad de pensar mucho"/>
    <x v="1"/>
    <b v="0"/>
    <b v="0"/>
    <n v="6.0722166666666603E-3"/>
    <n v="5"/>
    <s v="Juro que te amo"/>
    <n v="0.45700000000000002"/>
    <m/>
    <m/>
    <m/>
    <m/>
    <m/>
    <n v="1"/>
    <n v="0"/>
  </r>
  <r>
    <s v="1cec76c2-cd41-48c1-b0f9-108d8c027a5b"/>
    <s v="57 315 6117571"/>
    <d v="2026-05-03T00:00:00"/>
    <s v="DIRECT"/>
    <b v="0"/>
    <n v="1"/>
    <d v="1899-12-30T05:36:00"/>
    <s v="algo para matar el tiempo"/>
    <s v="algo para matar el tiempo"/>
    <x v="1"/>
    <b v="0"/>
    <b v="0"/>
    <n v="4.72656666666666E-3"/>
    <n v="5"/>
    <s v="Chacrinha: Eu Vim para Confundir e Não para Explicar"/>
    <n v="0.31969999999999998"/>
    <m/>
    <m/>
    <m/>
    <m/>
    <m/>
    <n v="1"/>
    <n v="0"/>
  </r>
  <r>
    <s v="1d8c4abf-5926-4ccf-9ed5-47187041a1ac"/>
    <s v="57 315 6117582"/>
    <d v="2026-05-03T00:00:00"/>
    <s v="RAG"/>
    <b v="1"/>
    <n v="1"/>
    <d v="1899-12-30T11:15:00"/>
    <s v="una película que sea ligera pero interesante"/>
    <s v="una película que sea ligera pero interesante"/>
    <x v="0"/>
    <b v="1"/>
    <b v="0"/>
    <n v="3.3286749999999997E-2"/>
    <n v="5"/>
    <s v="Juro que te amo"/>
    <n v="0.4239"/>
    <m/>
    <m/>
    <m/>
    <m/>
    <m/>
    <n v="1"/>
    <n v="0"/>
  </r>
  <r>
    <s v="3baa49e2-c6b0-4392-b54e-09fee798a87e"/>
    <s v="57 317 3483528"/>
    <d v="2026-05-02T00:00:00"/>
    <s v="RAG"/>
    <b v="1"/>
    <n v="1"/>
    <d v="1899-12-30T02:12:00"/>
    <s v="películas románticas en el espacio"/>
    <s v="películas románticas en el espacio"/>
    <x v="0"/>
    <b v="1"/>
    <b v="0"/>
    <n v="3.4813666666666599E-3"/>
    <n v="5"/>
    <s v="Along came Love"/>
    <n v="0.31530000000000002"/>
    <m/>
    <m/>
    <m/>
    <m/>
    <m/>
    <n v="1"/>
    <n v="0"/>
  </r>
  <r>
    <s v="1e0b4c7d-c200-4f65-b0aa-3b4edb1f1d0c"/>
    <s v="57 317 2252197"/>
    <d v="2026-05-03T00:00:00"/>
    <s v="RAG"/>
    <b v="1"/>
    <n v="1"/>
    <d v="1899-12-30T14:25:00"/>
    <s v="algo que tenga sentido pero que también entretenga"/>
    <s v="algo que tenga sentido pero que también entretenga"/>
    <x v="0"/>
    <b v="1"/>
    <b v="0"/>
    <n v="5.1538833333333303E-3"/>
    <n v="5"/>
    <s v="Juro que te amo"/>
    <n v="0.66920000000000002"/>
    <m/>
    <m/>
    <m/>
    <m/>
    <m/>
    <n v="1"/>
    <n v="0"/>
  </r>
  <r>
    <s v="210b271a-fff1-4c1d-ba1d-9ed7f1ccddd2"/>
    <s v="57 316 7210986"/>
    <d v="2026-05-03T00:00:00"/>
    <s v="RAG"/>
    <b v="1"/>
    <n v="1"/>
    <d v="1899-12-30T03:48:00"/>
    <s v="algo que no sea aburrido"/>
    <s v="algo que no sea aburrido"/>
    <x v="0"/>
    <b v="1"/>
    <b v="0"/>
    <n v="8.2017666666666603E-3"/>
    <n v="5"/>
    <s v="Juro que te amo"/>
    <n v="0.47589999999999999"/>
    <m/>
    <m/>
    <m/>
    <m/>
    <m/>
    <n v="1"/>
    <n v="0"/>
  </r>
  <r>
    <s v="21dc1546-bc16-4a51-9973-e723ecd2da82"/>
    <s v="57 315 3803397"/>
    <d v="2026-05-03T00:00:00"/>
    <s v="RAG"/>
    <b v="1"/>
    <n v="1"/>
    <d v="1899-12-30T13:27:00"/>
    <s v="una peli que sea fácil pero no básica"/>
    <s v="una peli que sea fácil pero no básica"/>
    <x v="0"/>
    <b v="1"/>
    <b v="0"/>
    <n v="6.5025500000000002E-3"/>
    <n v="5"/>
    <s v="Juro que te amo"/>
    <n v="0.46139999999999998"/>
    <m/>
    <m/>
    <m/>
    <m/>
    <m/>
    <n v="1"/>
    <n v="0"/>
  </r>
  <r>
    <s v="2215bd1c-d212-43dc-9d7a-f38893a425d8"/>
    <s v="57 315 3467560"/>
    <d v="2026-05-03T00:00:00"/>
    <s v="DIRECT"/>
    <b v="0"/>
    <n v="1"/>
    <d v="1899-12-30T14:47:00"/>
    <s v="una película que tenga buen desarrollo pero que no sea lenta"/>
    <s v="una película que tenga buen desarrollo pero que no sea lenta"/>
    <x v="1"/>
    <b v="0"/>
    <b v="0"/>
    <n v="3.94111666666666E-3"/>
    <n v="5"/>
    <s v="Juro que te amo"/>
    <n v="0.62370000000000003"/>
    <m/>
    <m/>
    <m/>
    <m/>
    <m/>
    <n v="1"/>
    <n v="0"/>
  </r>
  <r>
    <s v="22aa255f-a611-44cd-8fbf-07aa295885eb"/>
    <s v="57 314 2770249"/>
    <d v="2026-05-03T00:00:00"/>
    <s v="RAG"/>
    <b v="1"/>
    <n v="1"/>
    <d v="1899-12-30T03:14:00"/>
    <s v="algo para ver solo"/>
    <s v="algo para ver solo"/>
    <x v="0"/>
    <b v="1"/>
    <b v="0"/>
    <n v="4.7396833333333303E-3"/>
    <n v="5"/>
    <s v="Para - We Are King"/>
    <n v="0.34189999999999998"/>
    <m/>
    <m/>
    <m/>
    <m/>
    <m/>
    <n v="1"/>
    <n v="0"/>
  </r>
  <r>
    <s v="23e6a612-bac8-4780-baa8-9409f4dc93da"/>
    <s v="57 316 9012180"/>
    <d v="2026-05-03T00:00:00"/>
    <s v="RAG"/>
    <b v="1"/>
    <n v="1"/>
    <d v="1899-12-30T13:54:00"/>
    <s v="quiero algo que me guste aunque no sea perfecto"/>
    <s v="quiero algo que me guste aunque no sea perfecto"/>
    <x v="0"/>
    <b v="1"/>
    <b v="0"/>
    <n v="5.3716166666666603E-3"/>
    <n v="5"/>
    <s v="Juro que te amo"/>
    <n v="0.45929999999999999"/>
    <m/>
    <m/>
    <m/>
    <m/>
    <m/>
    <n v="1"/>
    <n v="0"/>
  </r>
  <r>
    <s v="2504451b-22bc-4ebb-a65b-09e3519a4c98"/>
    <s v="57 312 5313949"/>
    <d v="2026-05-03T00:00:00"/>
    <s v="RAG"/>
    <b v="1"/>
    <n v="1"/>
    <d v="1899-12-30T11:52:00"/>
    <s v="algo que sea fácil de ver pero que valga la pena"/>
    <s v="algo que sea fácil de ver pero que valga la pena"/>
    <x v="0"/>
    <b v="1"/>
    <b v="0"/>
    <n v="5.0832833333333298E-3"/>
    <n v="5"/>
    <s v="Juro que te amo"/>
    <n v="0.65610000000000002"/>
    <m/>
    <m/>
    <m/>
    <m/>
    <m/>
    <n v="1"/>
    <n v="0"/>
  </r>
  <r>
    <s v="e5d7b6e1-2902-4789-a6e9-6aad95009cb4"/>
    <s v="57 316 6845398"/>
    <d v="2026-05-02T00:00:00"/>
    <s v="DIRECT"/>
    <b v="0"/>
    <n v="1"/>
    <d v="1899-12-30T02:07:00"/>
    <s v="pelis de acción con robots"/>
    <s v="pelis de acción con robots"/>
    <x v="1"/>
    <b v="0"/>
    <b v="0"/>
    <n v="4.7409333333333298E-3"/>
    <n v="5"/>
    <s v="Transformers: BotBots"/>
    <n v="0.34860000000000002"/>
    <m/>
    <m/>
    <m/>
    <m/>
    <m/>
    <n v="1"/>
    <n v="0"/>
  </r>
  <r>
    <s v="2b15526a-c0e4-4751-ab19-9c799b44a443"/>
    <s v="57 316 6763061"/>
    <d v="2026-05-03T00:00:00"/>
    <s v="DIRECT"/>
    <b v="0"/>
    <n v="1"/>
    <d v="1899-12-30T11:44:00"/>
    <s v="una peli que tenga emociones pero no sea muy triste"/>
    <s v="una peli que tenga emociones pero no sea muy triste"/>
    <x v="1"/>
    <b v="0"/>
    <b v="0"/>
    <n v="7.0834333333333298E-3"/>
    <n v="5"/>
    <s v="Juro que te amo"/>
    <n v="0.44569999999999999"/>
    <m/>
    <m/>
    <m/>
    <m/>
    <m/>
    <n v="1"/>
    <n v="0"/>
  </r>
  <r>
    <s v="2db612dd-3aef-4f92-bdc4-acb45a5b4868"/>
    <s v="57 313 6382126"/>
    <d v="2026-05-03T00:00:00"/>
    <s v="DIRECT"/>
    <b v="0"/>
    <n v="1"/>
    <d v="1899-12-30T12:10:00"/>
    <s v="algo que me guste aunque no sepa bien qué quiero"/>
    <s v="algo que me guste aunque no sepa bien qué quiero"/>
    <x v="1"/>
    <b v="0"/>
    <b v="0"/>
    <n v="3.76161666666666E-3"/>
    <n v="5"/>
    <s v="Juro que te amo"/>
    <n v="0.42549999999999999"/>
    <m/>
    <m/>
    <m/>
    <m/>
    <m/>
    <n v="1"/>
    <n v="0"/>
  </r>
  <r>
    <s v="2e5d0f69-90f5-4a1b-b523-0087b01e45cf"/>
    <s v="57 312 6992129"/>
    <d v="2026-05-03T00:00:00"/>
    <s v="RAG"/>
    <b v="1"/>
    <n v="1"/>
    <d v="1899-12-30T10:19:00"/>
    <s v="quiero una película que me guste de principio a fin"/>
    <s v="quiero una película que me guste de principio a fin"/>
    <x v="0"/>
    <b v="1"/>
    <b v="0"/>
    <n v="6.44398333333333E-3"/>
    <n v="5"/>
    <s v="Juro que te amo"/>
    <n v="0.42080000000000001"/>
    <m/>
    <m/>
    <m/>
    <m/>
    <m/>
    <n v="1"/>
    <n v="0"/>
  </r>
  <r>
    <s v="2f43905c-0115-4989-bbe5-7ba5a2a9d231"/>
    <s v="57 313 3933337"/>
    <d v="2026-05-03T00:00:00"/>
    <s v="DIRECT"/>
    <b v="0"/>
    <n v="1"/>
    <d v="1899-12-30T03:07:00"/>
    <s v="una película cualquiera"/>
    <s v="una película cualquiera"/>
    <x v="1"/>
    <b v="0"/>
    <b v="0"/>
    <n v="3.9119666666666596E-3"/>
    <n v="5"/>
    <s v="Muchachos, la película de la gente"/>
    <n v="0.41830000000000001"/>
    <m/>
    <m/>
    <m/>
    <m/>
    <m/>
    <n v="1"/>
    <n v="0"/>
  </r>
  <r>
    <s v="3ba1ce2a-dcb0-45a0-8bbb-8df310d04ec3"/>
    <s v="57 315 0604739"/>
    <d v="2026-05-03T00:00:00"/>
    <s v="RAG"/>
    <b v="1"/>
    <n v="1"/>
    <d v="1899-12-30T07:50:00"/>
    <s v="una peli buena cualquiera"/>
    <s v="una peli buena cualquiera"/>
    <x v="0"/>
    <b v="1"/>
    <b v="0"/>
    <n v="3.2554666666666601E-3"/>
    <n v="5"/>
    <s v="Muchachos, la película de la gente"/>
    <n v="0.30449999999999999"/>
    <m/>
    <m/>
    <m/>
    <m/>
    <m/>
    <n v="1"/>
    <n v="0"/>
  </r>
  <r>
    <s v="3f9936f3-d608-4652-866d-2b950bc2e78f"/>
    <s v="57 312 4064783"/>
    <d v="2026-05-03T00:00:00"/>
    <s v="RAG"/>
    <b v="1"/>
    <n v="1"/>
    <d v="1899-12-30T16:00:00"/>
    <s v="quiero una película que sea buena sin ser complicada"/>
    <s v="quiero una película que sea buena sin ser complicada"/>
    <x v="0"/>
    <b v="1"/>
    <b v="0"/>
    <n v="4.7533666666666604E-3"/>
    <n v="5"/>
    <s v="Juro que te amo"/>
    <n v="0.4521"/>
    <m/>
    <m/>
    <m/>
    <m/>
    <m/>
    <n v="1"/>
    <n v="0"/>
  </r>
  <r>
    <s v="40389c6b-305a-463e-a6c8-b22865b07639"/>
    <s v="57 313 2212276"/>
    <d v="2026-05-03T00:00:00"/>
    <s v="RAG"/>
    <b v="1"/>
    <n v="1"/>
    <d v="1899-12-30T12:18:00"/>
    <s v="quiero una peli que me entretenga sin pensar mucho pero que no sea mala"/>
    <s v="quiero una peli que me entretenga sin pensar mucho pero que no sea mala"/>
    <x v="0"/>
    <b v="1"/>
    <b v="0"/>
    <n v="5.51265E-3"/>
    <n v="5"/>
    <s v="Juro que te amo"/>
    <n v="0.64690000000000003"/>
    <m/>
    <m/>
    <m/>
    <m/>
    <m/>
    <n v="1"/>
    <n v="0"/>
  </r>
  <r>
    <s v="42138d8f-bf99-4318-8b58-d280d2abc9eb"/>
    <s v="57 314 5541679"/>
    <d v="2026-05-03T00:00:00"/>
    <s v="DIRECT"/>
    <b v="0"/>
    <n v="1"/>
    <d v="1899-12-30T03:37:00"/>
    <s v="una película cool"/>
    <s v="una película cool"/>
    <x v="1"/>
    <b v="0"/>
    <b v="0"/>
    <n v="6.4003833333333296E-3"/>
    <n v="5"/>
    <s v="Muchachos, la película de la gente"/>
    <n v="0.41120000000000001"/>
    <m/>
    <m/>
    <m/>
    <m/>
    <m/>
    <n v="1"/>
    <n v="0"/>
  </r>
  <r>
    <s v="450beca7-4f68-4dcb-bb72-e4e8db12cf66"/>
    <s v="57 311 7940053"/>
    <d v="2026-05-03T00:00:00"/>
    <s v="DIRECT"/>
    <b v="0"/>
    <n v="1"/>
    <d v="1899-12-30T01:49:00"/>
    <s v="algo para ver hoy"/>
    <s v="algo para ver hoy"/>
    <x v="1"/>
    <b v="0"/>
    <b v="0"/>
    <n v="4.5667666666666601E-3"/>
    <n v="5"/>
    <s v="Hoy Voy a Cambiar"/>
    <n v="0.81879999999999997"/>
    <m/>
    <m/>
    <m/>
    <m/>
    <m/>
    <n v="1"/>
    <n v="0"/>
  </r>
  <r>
    <s v="45de3c81-7ceb-4577-8eca-7d7526719b53"/>
    <s v="57 311 3837097"/>
    <d v="2026-05-03T00:00:00"/>
    <s v="RAG"/>
    <b v="1"/>
    <n v="1"/>
    <d v="1899-12-30T08:32:00"/>
    <s v="una peli que sea intensa pero no deprimente"/>
    <s v="una peli que sea intensa pero no deprimente"/>
    <x v="0"/>
    <b v="1"/>
    <b v="0"/>
    <n v="4.9312166666666598E-3"/>
    <n v="5"/>
    <s v="Juro que te amo"/>
    <n v="0.41949999999999998"/>
    <m/>
    <m/>
    <m/>
    <m/>
    <m/>
    <n v="1"/>
    <n v="0"/>
  </r>
  <r>
    <s v="47f8dbed-31c8-48ef-8b8f-8119473b8f86"/>
    <s v="57 314 1295996"/>
    <d v="2026-05-03T00:00:00"/>
    <s v="RAG"/>
    <b v="1"/>
    <n v="1"/>
    <d v="1899-12-30T06:57:00"/>
    <s v="una peli cualquiera buena"/>
    <s v="una peli cualquiera buena"/>
    <x v="0"/>
    <b v="1"/>
    <b v="0"/>
    <n v="2.1601366666666601E-2"/>
    <n v="5"/>
    <s v="Muchachos, la película de la gente"/>
    <n v="0.31"/>
    <m/>
    <m/>
    <m/>
    <m/>
    <m/>
    <n v="1"/>
    <n v="0"/>
  </r>
  <r>
    <s v="13111470-93aa-4b02-ae81-a3ed207affd1"/>
    <s v="57 316 7556912"/>
    <d v="2026-04-26T00:00:00"/>
    <s v="RAG"/>
    <b v="1"/>
    <n v="1"/>
    <d v="1899-12-30T22:25:00"/>
    <s v="recomienda algo parecido a spiderman"/>
    <s v="recomienda algo parecido a spiderman"/>
    <x v="0"/>
    <b v="1"/>
    <b v="0"/>
    <n v="1.0022E-2"/>
    <n v="5"/>
    <s v="Spider-Man"/>
    <n v="0.20899999999999999"/>
    <m/>
    <m/>
    <m/>
    <m/>
    <m/>
    <n v="1"/>
    <n v="0"/>
  </r>
  <r>
    <s v="4e9aeecd-3a15-4411-92c6-d1a01e1ad646"/>
    <s v="57 318 7079180"/>
    <d v="2026-05-03T00:00:00"/>
    <s v="DIRECT"/>
    <b v="0"/>
    <n v="1"/>
    <d v="1899-12-30T05:23:00"/>
    <s v="algo que enganche"/>
    <s v="algo que enganche"/>
    <x v="1"/>
    <b v="0"/>
    <b v="0"/>
    <n v="4.7372833333333298E-3"/>
    <n v="5"/>
    <s v="I Spit on Your Grave: Déjà Vu"/>
    <n v="0.47139999999999999"/>
    <m/>
    <m/>
    <m/>
    <m/>
    <m/>
    <n v="1"/>
    <n v="0"/>
  </r>
  <r>
    <s v="4f573d2d-d528-46a3-9490-3444c25c6bc4"/>
    <s v="57 317 4827337"/>
    <d v="2026-05-03T00:00:00"/>
    <s v="DIRECT"/>
    <b v="0"/>
    <n v="1"/>
    <d v="1899-12-30T01:23:00"/>
    <s v="recomiéndame algo"/>
    <s v="recomiéndame algo"/>
    <x v="1"/>
    <b v="0"/>
    <b v="0"/>
    <n v="5.117E-3"/>
    <n v="5"/>
    <s v="Kannadi Pookkal"/>
    <n v="0.20569999999999999"/>
    <m/>
    <m/>
    <m/>
    <m/>
    <m/>
    <n v="1"/>
    <n v="0"/>
  </r>
  <r>
    <s v="51a8e2b2-52de-431d-84c2-daa6bf7e2b78"/>
    <s v="57 316 7448460"/>
    <d v="2026-05-03T00:00:00"/>
    <s v="RAG"/>
    <b v="1"/>
    <n v="1"/>
    <d v="1899-12-30T02:33:00"/>
    <s v="algo para pasar el rato"/>
    <s v="algo para pasar el rato"/>
    <x v="0"/>
    <b v="1"/>
    <b v="0"/>
    <n v="4.5291666666666596E-3"/>
    <n v="5"/>
    <s v="Chacrinha: Eu Vim para Confundir e Não para Explicar"/>
    <n v="0.30370000000000003"/>
    <m/>
    <m/>
    <m/>
    <m/>
    <m/>
    <n v="1"/>
    <n v="0"/>
  </r>
  <r>
    <s v="52d3471e-1e14-430a-b515-572ce276609a"/>
    <s v="57 313 1223290"/>
    <d v="2026-05-03T00:00:00"/>
    <s v="RAG"/>
    <b v="1"/>
    <n v="1"/>
    <d v="1899-12-30T12:04:00"/>
    <s v="una película que tenga giros pero que no confunda"/>
    <s v="una película que tenga giros pero que no confunda"/>
    <x v="0"/>
    <b v="1"/>
    <b v="0"/>
    <n v="4.3512500000000001E-3"/>
    <n v="5"/>
    <s v="Juro que te amo"/>
    <n v="0.61929999999999996"/>
    <m/>
    <m/>
    <m/>
    <m/>
    <m/>
    <n v="1"/>
    <n v="0"/>
  </r>
  <r>
    <s v="567ce16e-e5e5-4d2c-8952-2d4f42d6d237"/>
    <s v="57 311 6838187"/>
    <d v="2026-05-03T00:00:00"/>
    <s v="DIRECT"/>
    <b v="0"/>
    <n v="1"/>
    <d v="1899-12-30T13:18:00"/>
    <s v="algo que tenga buena trama pero no sea lenta"/>
    <s v="algo que tenga buena trama pero no sea lenta"/>
    <x v="1"/>
    <b v="0"/>
    <b v="0"/>
    <n v="5.3284333333333302E-3"/>
    <n v="5"/>
    <s v="Juro que te amo"/>
    <n v="0.46110000000000001"/>
    <m/>
    <m/>
    <m/>
    <m/>
    <m/>
    <n v="1"/>
    <n v="0"/>
  </r>
  <r>
    <s v="5958494e-0cfb-45d3-8437-d4cbf3809c43"/>
    <s v="57 313 9524984"/>
    <d v="2026-05-03T00:00:00"/>
    <s v="DIRECT"/>
    <b v="0"/>
    <n v="1"/>
    <d v="1899-12-30T01:06:00"/>
    <s v="acción con estrategia y planificación"/>
    <s v="acción con estrategia y planificación"/>
    <x v="1"/>
    <b v="0"/>
    <b v="0"/>
    <n v="3.2385666666666598E-3"/>
    <n v="5"/>
    <s v="Profits et pertes : enquête sur les spéculateurs de la crise et du chaos"/>
    <n v="0.25750000000000001"/>
    <m/>
    <m/>
    <m/>
    <m/>
    <m/>
    <n v="1"/>
    <n v="0"/>
  </r>
  <r>
    <s v="59b3a795-e3ff-4658-b026-8e0126c694de"/>
    <s v="57 318 6807351"/>
    <d v="2026-05-03T00:00:00"/>
    <s v="RAG"/>
    <b v="1"/>
    <n v="1"/>
    <d v="1899-12-30T14:54:00"/>
    <s v="algo que sea envolvente pero fácil de seguir"/>
    <s v="algo que sea envolvente pero fácil de seguir"/>
    <x v="0"/>
    <b v="1"/>
    <b v="0"/>
    <n v="3.7428166666666602E-3"/>
    <n v="5"/>
    <s v="Juro que te amo"/>
    <n v="0.44719999999999999"/>
    <m/>
    <m/>
    <m/>
    <m/>
    <m/>
    <n v="1"/>
    <n v="0"/>
  </r>
  <r>
    <s v="59c3c9f8-211a-488d-871f-46b6f1a33dc2"/>
    <s v="57 318 0189033"/>
    <d v="2026-05-03T00:00:00"/>
    <s v="RAG"/>
    <b v="1"/>
    <n v="1"/>
    <d v="1899-12-30T12:39:00"/>
    <s v="una película que sea emocionante pero clara"/>
    <s v="una película que sea emocionante pero clara"/>
    <x v="0"/>
    <b v="1"/>
    <b v="0"/>
    <n v="3.5548166666666599E-3"/>
    <n v="5"/>
    <s v="Juro que te amo"/>
    <n v="0.4496"/>
    <m/>
    <m/>
    <m/>
    <m/>
    <m/>
    <n v="1"/>
    <n v="0"/>
  </r>
  <r>
    <s v="5d1d8a45-659f-4feb-ac7b-e3181d2de03d"/>
    <s v="57 314 3333552"/>
    <d v="2026-05-03T00:00:00"/>
    <s v="DIRECT"/>
    <b v="0"/>
    <n v="1"/>
    <d v="1899-12-30T15:31:00"/>
    <s v="quiero algo que sea interesante pero no pesado"/>
    <s v="quiero algo que sea interesante pero no pesado"/>
    <x v="1"/>
    <b v="0"/>
    <b v="0"/>
    <n v="3.4447283333333301E-2"/>
    <n v="5"/>
    <s v="Juro que te amo"/>
    <n v="0.47310000000000002"/>
    <m/>
    <m/>
    <m/>
    <m/>
    <m/>
    <n v="1"/>
    <n v="0"/>
  </r>
  <r>
    <s v="5dd4767b-9b27-4bd6-9c54-1be3f17a3a80"/>
    <s v="57 318 0071967"/>
    <d v="2026-05-03T00:00:00"/>
    <s v="DIRECT"/>
    <b v="0"/>
    <n v="1"/>
    <d v="1899-12-30T11:58:00"/>
    <s v="quiero algo intenso pero que no me estrese"/>
    <s v="quiero algo intenso pero que no me estrese"/>
    <x v="1"/>
    <b v="0"/>
    <b v="0"/>
    <n v="4.68835E-3"/>
    <n v="5"/>
    <s v="Juro que te amo"/>
    <n v="0.4874"/>
    <m/>
    <m/>
    <m/>
    <m/>
    <m/>
    <n v="1"/>
    <n v="0"/>
  </r>
  <r>
    <s v="5ee780ad-0e7c-4b7c-9c92-a162dc291bf0"/>
    <s v="57 316 1782207"/>
    <d v="2026-05-03T00:00:00"/>
    <s v="DIRECT"/>
    <b v="0"/>
    <n v="1"/>
    <d v="1899-12-30T00:29:00"/>
    <s v="acción con aventura y exploración"/>
    <s v="acción con aventura y exploración"/>
    <x v="1"/>
    <b v="0"/>
    <b v="0"/>
    <n v="2.7127499999999999E-3"/>
    <n v="5"/>
    <s v="The Surgeon of the Rusty Knife"/>
    <n v="0.25530000000000003"/>
    <m/>
    <m/>
    <m/>
    <m/>
    <m/>
    <n v="1"/>
    <n v="0"/>
  </r>
  <r>
    <s v="67c7680b-6e02-4568-a329-e375414753b8"/>
    <s v="57 319 8744710"/>
    <d v="2026-05-03T00:00:00"/>
    <s v="DIRECT"/>
    <b v="0"/>
    <n v="1"/>
    <d v="1899-12-30T07:08:00"/>
    <s v="algo recomendado"/>
    <s v="algo recomendado"/>
    <x v="1"/>
    <b v="0"/>
    <b v="0"/>
    <n v="4.5488500000000001E-3"/>
    <n v="5"/>
    <s v="Aliados"/>
    <n v="0.2419"/>
    <m/>
    <m/>
    <m/>
    <m/>
    <m/>
    <n v="1"/>
    <n v="0"/>
  </r>
  <r>
    <s v="6929d705-d6f9-406c-8d34-9a284b66cc43"/>
    <s v="57 319 9077595"/>
    <d v="2026-05-03T00:00:00"/>
    <s v="RAG"/>
    <b v="1"/>
    <n v="1"/>
    <d v="1899-12-30T10:34:00"/>
    <s v="una peli que tenga suspenso pero que se entienda bien"/>
    <s v="una peli que tenga suspenso pero que se entienda bien"/>
    <x v="0"/>
    <b v="1"/>
    <b v="0"/>
    <n v="5.0596166666666597E-3"/>
    <n v="5"/>
    <s v="Juro que te amo"/>
    <n v="0.64419999999999999"/>
    <m/>
    <m/>
    <m/>
    <m/>
    <m/>
    <n v="1"/>
    <n v="0"/>
  </r>
  <r>
    <s v="6b9eccbb-0309-49f6-b6f7-63803fa4ed9f"/>
    <s v="57 318 1333033"/>
    <d v="2026-05-03T00:00:00"/>
    <s v="DIRECT"/>
    <b v="0"/>
    <n v="1"/>
    <d v="1899-12-30T12:33:00"/>
    <s v="algo que sea interesante sin ser complicado"/>
    <s v="algo que sea interesante sin ser complicado"/>
    <x v="1"/>
    <b v="0"/>
    <b v="0"/>
    <n v="4.4703666666666602E-3"/>
    <n v="5"/>
    <s v="Juro que te amo"/>
    <n v="0.4546"/>
    <m/>
    <m/>
    <m/>
    <m/>
    <m/>
    <n v="1"/>
    <n v="0"/>
  </r>
  <r>
    <s v="6c15d078-a9a2-4d0e-9828-9fc67c124a21"/>
    <s v="57 312 5114061"/>
    <d v="2026-05-03T00:00:00"/>
    <s v="RAG"/>
    <b v="1"/>
    <n v="1"/>
    <d v="1899-12-30T04:23:00"/>
    <s v="una peli decente"/>
    <s v="una peli decente"/>
    <x v="0"/>
    <b v="1"/>
    <b v="0"/>
    <n v="3.8487666666666598E-3"/>
    <n v="5"/>
    <s v="Still a Mystery"/>
    <n v="0.33019999999999999"/>
    <m/>
    <m/>
    <m/>
    <m/>
    <m/>
    <n v="1"/>
    <n v="0"/>
  </r>
  <r>
    <s v="6de59ea5-b5ef-43fb-bbd5-18e124b94407"/>
    <s v="57 311 7519626"/>
    <d v="2026-05-03T00:00:00"/>
    <s v="DIRECT"/>
    <b v="0"/>
    <n v="1"/>
    <d v="1899-12-30T06:20:00"/>
    <s v="algo para desconectar"/>
    <s v="algo para desconectar"/>
    <x v="1"/>
    <b v="0"/>
    <b v="0"/>
    <n v="3.0648666666666601E-3"/>
    <n v="5"/>
    <s v="Para - We Are King"/>
    <n v="0.32529999999999998"/>
    <m/>
    <m/>
    <m/>
    <m/>
    <m/>
    <n v="1"/>
    <n v="0"/>
  </r>
  <r>
    <s v="6e9d561b-2535-49c0-af9d-8db77609329e"/>
    <s v="57 319 2096035"/>
    <d v="2026-05-03T00:00:00"/>
    <s v="DIRECT"/>
    <b v="0"/>
    <n v="1"/>
    <d v="1899-12-30T12:47:00"/>
    <s v="quiero algo que me saque de la rutina pero que sea disfrutable"/>
    <s v="quiero algo que me saque de la rutina pero que sea disfrutable"/>
    <x v="1"/>
    <b v="0"/>
    <b v="0"/>
    <n v="6.0046500000000003E-3"/>
    <n v="5"/>
    <s v="Juro que te amo"/>
    <n v="0.66169999999999995"/>
    <m/>
    <m/>
    <m/>
    <m/>
    <m/>
    <n v="1"/>
    <n v="0"/>
  </r>
  <r>
    <s v="73f91bb2-9a7e-4c43-a184-1a55bd0f1bfc"/>
    <s v="57 312 2039723"/>
    <d v="2026-05-03T00:00:00"/>
    <s v="RAG"/>
    <b v="1"/>
    <n v="1"/>
    <d v="1899-12-30T03:00:00"/>
    <s v="algo que valga la pena"/>
    <s v="algo que valga la pena"/>
    <x v="0"/>
    <b v="1"/>
    <b v="0"/>
    <n v="4.6447499999999996E-3"/>
    <n v="5"/>
    <s v="Juro que te amo"/>
    <n v="0.46789999999999998"/>
    <m/>
    <m/>
    <m/>
    <m/>
    <m/>
    <n v="1"/>
    <n v="0"/>
  </r>
  <r>
    <s v="7449fb08-2594-48e7-8ec7-a288352e296c"/>
    <s v="57 314 1085967"/>
    <d v="2026-05-03T00:00:00"/>
    <s v="DIRECT"/>
    <b v="0"/>
    <n v="1"/>
    <d v="1899-12-30T07:44:00"/>
    <s v="algo para ver ahora"/>
    <s v="algo para ver ahora"/>
    <x v="1"/>
    <b v="0"/>
    <b v="0"/>
    <n v="3.3079833333333301E-3"/>
    <n v="5"/>
    <s v="Para Gases... los mios"/>
    <n v="0.45400000000000001"/>
    <m/>
    <m/>
    <m/>
    <m/>
    <m/>
    <n v="1"/>
    <n v="0"/>
  </r>
  <r>
    <s v="755ca381-5d16-4e7f-be83-73883034cd78"/>
    <s v="57 315 2028844"/>
    <d v="2026-05-03T00:00:00"/>
    <s v="RAG"/>
    <b v="1"/>
    <n v="1"/>
    <d v="1899-12-30T15:40:00"/>
    <s v="una peli que tenga emoción pero sin exagerar"/>
    <s v="una peli que tenga emoción pero sin exagerar"/>
    <x v="0"/>
    <b v="1"/>
    <b v="0"/>
    <n v="5.1664500000000004E-3"/>
    <n v="5"/>
    <s v="Juro que te amo"/>
    <n v="0.43740000000000001"/>
    <m/>
    <m/>
    <m/>
    <m/>
    <m/>
    <n v="1"/>
    <n v="0"/>
  </r>
  <r>
    <s v="7667ad71-f10e-4ce1-8cdb-0b485158cd03"/>
    <s v="57 317 3577146"/>
    <d v="2026-05-03T00:00:00"/>
    <s v="RAG"/>
    <b v="1"/>
    <n v="1"/>
    <d v="1899-12-30T08:47:00"/>
    <s v="quiero ver algo interesante pero que no me aburra"/>
    <s v="quiero ver algo interesante pero que no me aburra"/>
    <x v="0"/>
    <b v="1"/>
    <b v="0"/>
    <n v="5.6080666666666603E-3"/>
    <n v="5"/>
    <s v="Juro que te amo"/>
    <n v="0.4738"/>
    <m/>
    <m/>
    <m/>
    <m/>
    <m/>
    <n v="1"/>
    <n v="0"/>
  </r>
  <r>
    <s v="797975fb-5e94-45ef-b6c4-4e3ec1cf588a"/>
    <s v="57 312 8047427"/>
    <d v="2026-05-03T00:00:00"/>
    <s v="DIRECT"/>
    <b v="0"/>
    <n v="1"/>
    <d v="1899-12-30T09:15:00"/>
    <s v="una peli que sea profunda pero entretenida"/>
    <s v="una peli que sea profunda pero entretenida"/>
    <x v="1"/>
    <b v="0"/>
    <b v="0"/>
    <n v="4.6943000000000002E-3"/>
    <n v="5"/>
    <s v="Juro que te amo"/>
    <n v="0.43669999999999998"/>
    <m/>
    <m/>
    <m/>
    <m/>
    <m/>
    <n v="1"/>
    <n v="0"/>
  </r>
  <r>
    <s v="7a82737c-65ed-4a44-a451-53e85348543f"/>
    <s v="57 318 5569632"/>
    <d v="2026-05-03T00:00:00"/>
    <s v="RAG"/>
    <b v="1"/>
    <n v="1"/>
    <d v="1899-12-30T07:28:00"/>
    <s v="una peli que valga la pena ver"/>
    <s v="una peli que valga la pena ver"/>
    <x v="0"/>
    <b v="1"/>
    <b v="0"/>
    <n v="4.3933833333333304E-3"/>
    <n v="5"/>
    <s v="Juro que te amo"/>
    <n v="0.44130000000000003"/>
    <m/>
    <m/>
    <m/>
    <m/>
    <m/>
    <n v="1"/>
    <n v="0"/>
  </r>
  <r>
    <s v="7b6a2e0b-ed6d-48a5-8b34-c78ee429c4fb"/>
    <s v="57 315 5217110"/>
    <d v="2026-05-03T00:00:00"/>
    <s v="DIRECT"/>
    <b v="0"/>
    <n v="1"/>
    <d v="1899-12-30T09:02:00"/>
    <s v="una película que tenga buena historia pero que sea fácil de seguir"/>
    <s v="una película que tenga buena historia pero que sea fácil de seguir"/>
    <x v="1"/>
    <b v="0"/>
    <b v="0"/>
    <n v="1.22258E-2"/>
    <n v="5"/>
    <s v="Juro que te amo"/>
    <n v="0.64759999999999995"/>
    <m/>
    <m/>
    <m/>
    <m/>
    <m/>
    <n v="1"/>
    <n v="0"/>
  </r>
  <r>
    <s v="7bc56fbc-d4e3-4e33-9a20-d46a50c95115"/>
    <s v="57 316 0768926"/>
    <d v="2026-05-03T00:00:00"/>
    <s v="DIRECT"/>
    <b v="0"/>
    <n v="1"/>
    <d v="1899-12-30T06:33:00"/>
    <s v="algo para ver tranquilo"/>
    <s v="algo para ver tranquilo"/>
    <x v="1"/>
    <b v="0"/>
    <b v="0"/>
    <n v="4.2937499999999998E-3"/>
    <n v="5"/>
    <s v="I Am Curious (Yellow)"/>
    <n v="0.26090000000000002"/>
    <m/>
    <m/>
    <m/>
    <m/>
    <m/>
    <n v="1"/>
    <n v="0"/>
  </r>
  <r>
    <s v="7c6e36e2-f4f2-422a-ad13-0b40182eb09a"/>
    <s v="57 311 2751687"/>
    <d v="2026-05-03T00:00:00"/>
    <s v="RAG"/>
    <b v="1"/>
    <n v="1"/>
    <d v="1899-12-30T09:58:00"/>
    <s v="una peli que tenga buen ritmo pero que también haga pensar"/>
    <s v="una peli que tenga buen ritmo pero que también haga pensar"/>
    <x v="0"/>
    <b v="1"/>
    <b v="0"/>
    <n v="5.0196499999999996E-3"/>
    <n v="5"/>
    <s v="Juro que te amo"/>
    <n v="0.64359999999999995"/>
    <m/>
    <m/>
    <m/>
    <m/>
    <m/>
    <n v="1"/>
    <n v="0"/>
  </r>
  <r>
    <s v="7ca12702-69a7-44d3-b13e-a2de33cd45cb"/>
    <s v="57 313 5436203"/>
    <d v="2026-05-03T00:00:00"/>
    <s v="DIRECT"/>
    <b v="0"/>
    <n v="1"/>
    <d v="1899-12-30T14:34:00"/>
    <s v="una peli que no sea complicada pero que tenga fondo"/>
    <s v="una peli que no sea complicada pero que tenga fondo"/>
    <x v="1"/>
    <b v="0"/>
    <b v="0"/>
    <n v="5.33866666666666E-3"/>
    <n v="5"/>
    <s v="Juro que te amo"/>
    <n v="0.66"/>
    <m/>
    <m/>
    <m/>
    <m/>
    <m/>
    <n v="1"/>
    <n v="0"/>
  </r>
  <r>
    <s v="7ddae252-ed97-461f-a30f-b0ee9883d36b"/>
    <s v="57 314 5895774"/>
    <d v="2026-05-03T00:00:00"/>
    <s v="DIRECT"/>
    <b v="0"/>
    <n v="1"/>
    <d v="1899-12-30T02:53:00"/>
    <s v="recomiéndame una peli"/>
    <s v="recomiéndame una peli"/>
    <x v="1"/>
    <b v="0"/>
    <b v="0"/>
    <n v="1.7127449999999999E-2"/>
    <n v="5"/>
    <s v="Muchachos, la película de la gente"/>
    <n v="0.27389999999999998"/>
    <m/>
    <m/>
    <m/>
    <m/>
    <m/>
    <n v="1"/>
    <n v="0"/>
  </r>
  <r>
    <s v="8194c28e-643b-400d-95f3-9daf25c7e193"/>
    <s v="57 316 2344554"/>
    <d v="2026-05-03T00:00:00"/>
    <s v="RAG"/>
    <b v="1"/>
    <n v="1"/>
    <d v="1899-12-30T04:46:00"/>
    <s v="una película interesante"/>
    <s v="una película interesante"/>
    <x v="0"/>
    <b v="1"/>
    <b v="0"/>
    <n v="7.4489166666666601E-3"/>
    <n v="5"/>
    <s v="Muchachos, la película de la gente"/>
    <n v="0.40160000000000001"/>
    <m/>
    <m/>
    <m/>
    <m/>
    <m/>
    <n v="1"/>
    <n v="0"/>
  </r>
  <r>
    <s v="436811af-91f8-425f-aa80-aff5d2a194a3"/>
    <s v="57 316 5925008"/>
    <d v="2026-05-02T00:00:00"/>
    <s v="DIRECT"/>
    <b v="0"/>
    <n v="1"/>
    <d v="1899-12-30T03:46:00"/>
    <s v="romance adolescente"/>
    <s v="romance adolescente"/>
    <x v="1"/>
    <b v="0"/>
    <b v="0"/>
    <n v="7.5992333333333301E-3"/>
    <n v="5"/>
    <s v="Romance en tres noches"/>
    <n v="0.61909999999999998"/>
    <m/>
    <m/>
    <m/>
    <m/>
    <m/>
    <n v="1"/>
    <n v="0"/>
  </r>
  <r>
    <s v="8461896b-bb71-4f2c-92bf-74cd5714500e"/>
    <s v="57 311 5460940"/>
    <d v="2026-05-03T00:00:00"/>
    <s v="DIRECT"/>
    <b v="0"/>
    <n v="1"/>
    <d v="1899-12-30T09:51:00"/>
    <s v="quiero algo emocionante pero no exagerado"/>
    <s v="quiero algo emocionante pero no exagerado"/>
    <x v="1"/>
    <b v="0"/>
    <b v="0"/>
    <n v="5.8267500000000003E-3"/>
    <n v="5"/>
    <s v="Juro que te amo"/>
    <n v="0.27639999999999998"/>
    <m/>
    <m/>
    <m/>
    <m/>
    <m/>
    <n v="1"/>
    <n v="0"/>
  </r>
  <r>
    <s v="853ab7af-9833-4dcb-97ca-9d4661a3e5bf"/>
    <s v="57 316 3222267"/>
    <d v="2026-05-03T00:00:00"/>
    <s v="RAG"/>
    <b v="1"/>
    <n v="1"/>
    <d v="1899-12-30T13:41:00"/>
    <s v="algo que tenga buena historia pero que no sea pesada"/>
    <s v="algo que tenga buena historia pero que no sea pesada"/>
    <x v="0"/>
    <b v="1"/>
    <b v="0"/>
    <n v="2.8980666666666602E-3"/>
    <n v="5"/>
    <s v="Juro que te amo"/>
    <n v="0.65920000000000001"/>
    <m/>
    <m/>
    <m/>
    <m/>
    <m/>
    <n v="1"/>
    <n v="0"/>
  </r>
  <r>
    <s v="89e86f6b-f915-497e-9868-64e01ff934b1"/>
    <s v="57 314 5925716"/>
    <d v="2026-05-03T00:00:00"/>
    <s v="RAG"/>
    <b v="1"/>
    <n v="1"/>
    <d v="1899-12-30T05:43:00"/>
    <s v="una película que guste"/>
    <s v="una película que guste"/>
    <x v="0"/>
    <b v="1"/>
    <b v="0"/>
    <n v="4.4097833333333301E-3"/>
    <n v="5"/>
    <s v="Juro que te amo"/>
    <n v="0.42330000000000001"/>
    <m/>
    <m/>
    <m/>
    <m/>
    <m/>
    <n v="1"/>
    <n v="0"/>
  </r>
  <r>
    <s v="8b6ddfa7-bdef-4719-a978-c4770655a7fe"/>
    <s v="57 318 2174887"/>
    <d v="2026-05-03T00:00:00"/>
    <s v="RAG"/>
    <b v="1"/>
    <n v="1"/>
    <d v="1899-12-30T08:05:00"/>
    <s v="una película que no falle"/>
    <s v="una película que no falle"/>
    <x v="0"/>
    <b v="1"/>
    <b v="0"/>
    <n v="6.8237166666666599E-3"/>
    <n v="5"/>
    <s v="Juro que te amo"/>
    <n v="0.4118"/>
    <m/>
    <m/>
    <m/>
    <m/>
    <m/>
    <n v="1"/>
    <n v="0"/>
  </r>
  <r>
    <s v="8cae7930-6a82-40d8-b497-bd519ca041dd"/>
    <s v="57 316 6571571"/>
    <d v="2026-05-03T00:00:00"/>
    <s v="RAG"/>
    <b v="1"/>
    <n v="1"/>
    <d v="1899-12-30T00:41:00"/>
    <s v="ciencia ficción con viajes espaciales y drama"/>
    <s v="ciencia ficción con viajes espaciales y drama"/>
    <x v="0"/>
    <b v="1"/>
    <b v="0"/>
    <n v="5.94508333333333E-3"/>
    <n v="5"/>
    <s v="Traición"/>
    <n v="0.75009999999999999"/>
    <m/>
    <m/>
    <m/>
    <m/>
    <m/>
    <n v="1"/>
    <n v="0"/>
  </r>
  <r>
    <s v="8cbd061e-e748-456b-a9a3-e7570837d4f1"/>
    <s v="57 314 0210624"/>
    <d v="2026-05-03T00:00:00"/>
    <s v="RAG"/>
    <b v="1"/>
    <n v="1"/>
    <d v="1899-12-30T13:10:00"/>
    <s v="quiero una película que me haga sentir algo pero no tristeza"/>
    <s v="quiero una película que me haga sentir algo pero no tristeza"/>
    <x v="0"/>
    <b v="1"/>
    <b v="0"/>
    <n v="5.4448166666666601E-3"/>
    <n v="5"/>
    <s v="Juro que te amo"/>
    <n v="0.44740000000000002"/>
    <m/>
    <m/>
    <m/>
    <m/>
    <m/>
    <n v="1"/>
    <n v="0"/>
  </r>
  <r>
    <s v="8d7187ae-1303-4954-9d48-cb80f90d3512"/>
    <s v="57 316 3076833"/>
    <d v="2026-05-03T00:00:00"/>
    <s v="RAG"/>
    <b v="1"/>
    <n v="1"/>
    <d v="1899-12-30T02:07:00"/>
    <s v="algo interesante"/>
    <s v="algo interesante"/>
    <x v="0"/>
    <b v="1"/>
    <b v="0"/>
    <n v="5.0525500000000003E-3"/>
    <n v="5"/>
    <s v="Illiterate"/>
    <n v="0.29930000000000001"/>
    <m/>
    <m/>
    <m/>
    <m/>
    <m/>
    <n v="1"/>
    <n v="0"/>
  </r>
  <r>
    <s v="914de4ad-ba4b-41a2-91c1-9b8309ed8fce"/>
    <s v="57 317 2817249"/>
    <d v="2026-05-03T00:00:00"/>
    <s v="DIRECT"/>
    <b v="0"/>
    <n v="1"/>
    <d v="1899-12-30T05:07:00"/>
    <s v="algo fácil de ver"/>
    <s v="algo fácil de ver"/>
    <x v="1"/>
    <b v="0"/>
    <b v="0"/>
    <n v="4.5474333333333297E-3"/>
    <n v="5"/>
    <s v="Fácil"/>
    <n v="0.42559999999999998"/>
    <m/>
    <m/>
    <m/>
    <m/>
    <m/>
    <n v="1"/>
    <n v="0"/>
  </r>
  <r>
    <s v="9283d613-de08-4f44-b384-938f5152edd0"/>
    <s v="57 316 3827517"/>
    <d v="2026-05-03T00:00:00"/>
    <s v="DIRECT"/>
    <b v="0"/>
    <n v="1"/>
    <d v="1899-12-30T04:00:00"/>
    <s v="una peli para distraerme"/>
    <s v="una peli para distraerme"/>
    <x v="1"/>
    <b v="0"/>
    <b v="0"/>
    <n v="3.7986500000000002E-3"/>
    <n v="5"/>
    <s v="Illiterate"/>
    <n v="0.25590000000000002"/>
    <m/>
    <m/>
    <m/>
    <m/>
    <m/>
    <n v="1"/>
    <n v="0"/>
  </r>
  <r>
    <s v="970f4457-3619-4773-9441-ae08e29b8fc7"/>
    <s v="57 314 9990651"/>
    <d v="2026-05-03T00:00:00"/>
    <s v="DIRECT"/>
    <b v="0"/>
    <n v="1"/>
    <d v="1899-12-30T02:00:00"/>
    <s v="dame una recomendación"/>
    <s v="dame una recomendación"/>
    <x v="1"/>
    <b v="0"/>
    <b v="0"/>
    <n v="2.8530166666666601E-3"/>
    <n v="5"/>
    <s v="Muchachos, la película de la gente"/>
    <n v="0.28339999999999999"/>
    <m/>
    <m/>
    <m/>
    <m/>
    <m/>
    <n v="1"/>
    <n v="0"/>
  </r>
  <r>
    <s v="982c29f9-ca62-4d74-820c-d3f4da6a04db"/>
    <s v="57 311 6810904"/>
    <d v="2026-05-03T00:00:00"/>
    <s v="RAG"/>
    <b v="1"/>
    <n v="1"/>
    <d v="1899-12-30T07:40:00"/>
    <s v="una película que recomiendes"/>
    <s v="una película que recomiendes"/>
    <x v="0"/>
    <b v="1"/>
    <b v="0"/>
    <n v="4.09305E-3"/>
    <n v="5"/>
    <s v="Juro que te amo"/>
    <n v="0.39910000000000001"/>
    <m/>
    <m/>
    <m/>
    <m/>
    <m/>
    <n v="1"/>
    <n v="0"/>
  </r>
  <r>
    <s v="99ad7804-e3d2-4f9d-9017-1977609669b6"/>
    <s v="57 312 3008605"/>
    <d v="2026-05-03T00:00:00"/>
    <s v="RAG"/>
    <b v="1"/>
    <n v="1"/>
    <d v="1899-12-30T07:14:00"/>
    <s v="una película popular"/>
    <s v="una película popular"/>
    <x v="0"/>
    <b v="1"/>
    <b v="0"/>
    <n v="4.1637333333333299E-3"/>
    <n v="5"/>
    <s v="Muchachos, la película de la gente"/>
    <n v="0.42180000000000001"/>
    <m/>
    <m/>
    <m/>
    <m/>
    <m/>
    <n v="1"/>
    <n v="0"/>
  </r>
  <r>
    <s v="99ba69a6-03c1-4694-81df-d309488dcec6"/>
    <s v="57 317 0446491"/>
    <d v="2026-05-03T00:00:00"/>
    <s v="RAG"/>
    <b v="1"/>
    <n v="1"/>
    <d v="1899-12-30T14:42:00"/>
    <s v="quiero algo que me deje satisfecho al final"/>
    <s v="quiero algo que me deje satisfecho al final"/>
    <x v="0"/>
    <b v="1"/>
    <b v="0"/>
    <n v="4.8484333333333298E-3"/>
    <n v="5"/>
    <s v="Juro que te amo"/>
    <n v="0.4506"/>
    <m/>
    <m/>
    <m/>
    <m/>
    <m/>
    <n v="1"/>
    <n v="0"/>
  </r>
  <r>
    <s v="9f49039d-d7b5-4883-9029-5d0dd2ed7c5c"/>
    <s v="57 319 5052782"/>
    <d v="2026-05-03T00:00:00"/>
    <s v="DIRECT"/>
    <b v="0"/>
    <n v="1"/>
    <d v="1899-12-30T08:12:00"/>
    <s v="algo para ver ya"/>
    <s v="algo para ver ya"/>
    <x v="1"/>
    <b v="0"/>
    <b v="0"/>
    <n v="5.7715666666666599E-3"/>
    <n v="5"/>
    <s v="Para Gases... los mios"/>
    <n v="0.46400000000000002"/>
    <m/>
    <m/>
    <m/>
    <m/>
    <m/>
    <n v="1"/>
    <n v="0"/>
  </r>
  <r>
    <s v="56a1c2f1-5b0e-468d-9a93-b44a27694337"/>
    <s v="57 315 6267655"/>
    <d v="2026-05-02T00:00:00"/>
    <s v="RAG"/>
    <b v="1"/>
    <n v="1"/>
    <d v="1899-12-30T03:22:00"/>
    <s v="terror con casas embrujadas"/>
    <s v="terror con casas embrujadas"/>
    <x v="0"/>
    <b v="1"/>
    <b v="0"/>
    <n v="4.39181666666666E-3"/>
    <n v="5"/>
    <s v="Piazza Fontana: The Italian Conspiracy"/>
    <n v="0.3417"/>
    <m/>
    <m/>
    <m/>
    <m/>
    <m/>
    <n v="1"/>
    <n v="0"/>
  </r>
  <r>
    <s v="a6645447-ecd1-4705-a8f6-5bc228650835"/>
    <s v="57 316 5593688"/>
    <d v="2026-05-03T00:00:00"/>
    <s v="RAG"/>
    <b v="1"/>
    <n v="1"/>
    <d v="1899-12-30T09:42:00"/>
    <s v="algo que me sorprenda pero que no sea confuso"/>
    <s v="algo que me sorprenda pero que no sea confuso"/>
    <x v="0"/>
    <b v="1"/>
    <b v="0"/>
    <n v="4.8958833333333299E-3"/>
    <n v="5"/>
    <s v="Juro que te amo"/>
    <n v="0.65739999999999998"/>
    <m/>
    <m/>
    <m/>
    <m/>
    <m/>
    <n v="1"/>
    <n v="0"/>
  </r>
  <r>
    <s v="a8495d3b-720f-4c7a-87ae-ee6e9913b27a"/>
    <s v="57 319 3670093"/>
    <d v="2026-05-03T00:00:00"/>
    <s v="RAG"/>
    <b v="1"/>
    <n v="1"/>
    <d v="1899-12-30T06:27:00"/>
    <s v="una película agradable"/>
    <s v="una película agradable"/>
    <x v="0"/>
    <b v="1"/>
    <b v="0"/>
    <n v="4.9480666666666603E-3"/>
    <n v="5"/>
    <s v="Muchachos, la película de la gente"/>
    <n v="0.371"/>
    <m/>
    <m/>
    <m/>
    <m/>
    <m/>
    <n v="1"/>
    <n v="0"/>
  </r>
  <r>
    <s v="a8a786e9-45d4-4f44-b36a-557b9eb97cc0"/>
    <s v="57 313 6002270"/>
    <d v="2026-05-03T00:00:00"/>
    <s v="DIRECT"/>
    <b v="0"/>
    <n v="1"/>
    <d v="1899-12-30T05:48:00"/>
    <s v="algo bueno sin pensar mucho"/>
    <s v="algo bueno sin pensar mucho"/>
    <x v="1"/>
    <b v="0"/>
    <b v="0"/>
    <n v="3.66661666666666E-3"/>
    <n v="5"/>
    <s v="Anche se è amore non si vede"/>
    <n v="0.2923"/>
    <m/>
    <m/>
    <m/>
    <m/>
    <m/>
    <n v="1"/>
    <n v="0"/>
  </r>
  <r>
    <s v="ab4a239a-0e2c-43bb-94b7-0c54d3971beb"/>
    <s v="57 315 8258122"/>
    <d v="2026-05-03T00:00:00"/>
    <s v="RAG"/>
    <b v="1"/>
    <n v="1"/>
    <d v="1899-12-30T14:10:00"/>
    <s v="algo que no sea aburrido pero tampoco muy intenso"/>
    <s v="algo que no sea aburrido pero tampoco muy intenso"/>
    <x v="0"/>
    <b v="1"/>
    <b v="0"/>
    <n v="3.9370999999999998E-3"/>
    <n v="5"/>
    <s v="Juro que te amo"/>
    <n v="0.49230000000000002"/>
    <m/>
    <m/>
    <m/>
    <m/>
    <m/>
    <n v="1"/>
    <n v="0"/>
  </r>
  <r>
    <s v="ace06706-9e66-428b-b632-1e2465e70a82"/>
    <s v="57 312 1336233"/>
    <d v="2026-05-03T00:00:00"/>
    <s v="DIRECT"/>
    <b v="0"/>
    <n v="1"/>
    <d v="1899-12-30T15:46:00"/>
    <s v="algo que me haga disfrutar sin tener que analizar mucho"/>
    <s v="algo que me haga disfrutar sin tener que analizar mucho"/>
    <x v="1"/>
    <b v="0"/>
    <b v="0"/>
    <n v="3.81966666666666E-3"/>
    <n v="5"/>
    <s v="Juro que te amo"/>
    <n v="0.63190000000000002"/>
    <m/>
    <m/>
    <m/>
    <m/>
    <m/>
    <n v="1"/>
    <n v="0"/>
  </r>
  <r>
    <s v="ba5013cc-2ee7-4425-9307-aa18553b2f5a"/>
    <s v="57 319 6321629"/>
    <d v="2026-05-03T00:00:00"/>
    <s v="RAG"/>
    <b v="1"/>
    <n v="1"/>
    <d v="1899-12-30T05:01:00"/>
    <s v="una peli normal"/>
    <s v="una peli normal"/>
    <x v="0"/>
    <b v="1"/>
    <b v="0"/>
    <n v="4.8567166666666599E-3"/>
    <n v="5"/>
    <s v="Muchachos, la película de la gente"/>
    <n v="0.2409"/>
    <m/>
    <m/>
    <m/>
    <m/>
    <m/>
    <n v="1"/>
    <n v="0"/>
  </r>
  <r>
    <s v="bac4f304-9ab2-4b0e-968d-66ec135e4d7a"/>
    <s v="57 318 3245184"/>
    <d v="2026-05-03T00:00:00"/>
    <s v="DIRECT"/>
    <b v="0"/>
    <n v="1"/>
    <d v="1899-12-30T08:39:00"/>
    <s v="algo tipo sci fi pero más emocional que técnico"/>
    <s v="algo tipo sci fi pero más emocional que técnico"/>
    <x v="1"/>
    <b v="0"/>
    <b v="0"/>
    <n v="3.7258333333333301E-3"/>
    <n v="5"/>
    <s v="Juro que te amo"/>
    <n v="0.4803"/>
    <m/>
    <m/>
    <m/>
    <m/>
    <m/>
    <n v="1"/>
    <n v="0"/>
  </r>
  <r>
    <s v="bc0a0f89-3fcf-49e4-9d0c-13441d7a5e9e"/>
    <s v="57 319 9143906"/>
    <d v="2026-05-03T00:00:00"/>
    <s v="DIRECT"/>
    <b v="0"/>
    <n v="1"/>
    <d v="1899-12-30T08:25:00"/>
    <s v="quiero algo que me haga pensar pero que no sea tan complicado"/>
    <s v="quiero algo que me haga pensar pero que no sea tan complicado"/>
    <x v="1"/>
    <b v="0"/>
    <b v="0"/>
    <n v="5.3304333333333304E-3"/>
    <n v="5"/>
    <s v="¡Qué madre, tan padre!"/>
    <n v="0.66759999999999997"/>
    <m/>
    <m/>
    <m/>
    <m/>
    <m/>
    <n v="1"/>
    <n v="0"/>
  </r>
  <r>
    <s v="bca133fe-f569-46dd-a22c-1b64c6079ebf"/>
    <s v="57 314 3604905"/>
    <d v="2026-05-03T00:00:00"/>
    <s v="DIRECT"/>
    <b v="0"/>
    <n v="1"/>
    <d v="1899-12-30T10:26:00"/>
    <s v="algo que no sea típico pero tampoco muy extraño"/>
    <s v="algo que no sea típico pero tampoco muy extraño"/>
    <x v="1"/>
    <b v="0"/>
    <b v="0"/>
    <n v="5.2766333333333299E-3"/>
    <n v="5"/>
    <s v="Juro que te amo"/>
    <n v="0.47889999999999999"/>
    <m/>
    <m/>
    <m/>
    <m/>
    <m/>
    <n v="1"/>
    <n v="0"/>
  </r>
  <r>
    <s v="be99a9a2-4638-4a84-bb67-c39837e42465"/>
    <s v="57 312 7347966"/>
    <d v="2026-05-03T00:00:00"/>
    <s v="DIRECT"/>
    <b v="0"/>
    <n v="1"/>
    <d v="1899-12-30T02:26:00"/>
    <s v="una buena película"/>
    <s v="una buena película"/>
    <x v="1"/>
    <b v="0"/>
    <b v="0"/>
    <n v="4.1492666666666598E-3"/>
    <n v="5"/>
    <s v="Muchachos, la película de la gente"/>
    <n v="0.41909999999999997"/>
    <m/>
    <m/>
    <m/>
    <m/>
    <m/>
    <n v="1"/>
    <n v="0"/>
  </r>
  <r>
    <s v="c02f9798-5fc4-4cd7-a3aa-aa0f01ed4daf"/>
    <s v="57 312 9372236"/>
    <d v="2026-05-03T00:00:00"/>
    <s v="RAG"/>
    <b v="1"/>
    <n v="1"/>
    <d v="1899-12-30T11:35:00"/>
    <s v="quiero algo con buena historia y que no sea aburrido"/>
    <s v="quiero algo con buena historia y que no sea aburrido"/>
    <x v="0"/>
    <b v="1"/>
    <b v="0"/>
    <n v="3.8917166666666602E-3"/>
    <n v="5"/>
    <s v="Juro que te amo"/>
    <n v="0.4763"/>
    <m/>
    <m/>
    <m/>
    <m/>
    <m/>
    <n v="1"/>
    <n v="0"/>
  </r>
  <r>
    <s v="c1576453-6fbc-47c4-9e6d-73bc6e9dacbe"/>
    <s v="57 313 5827318"/>
    <d v="2026-05-03T00:00:00"/>
    <s v="RAG"/>
    <b v="1"/>
    <n v="1"/>
    <d v="1899-12-30T01:16:00"/>
    <s v="ciencia ficción con robots y emociones humanas"/>
    <s v="ciencia ficción con robots y emociones humanas"/>
    <x v="0"/>
    <b v="1"/>
    <b v="0"/>
    <n v="6.4792000000000001E-3"/>
    <n v="5"/>
    <s v="Real Humans"/>
    <n v="0.3977"/>
    <m/>
    <m/>
    <m/>
    <m/>
    <m/>
    <n v="1"/>
    <n v="0"/>
  </r>
  <r>
    <s v="c18b2756-3a1d-4c8a-a38c-17b2888f82f5"/>
    <s v="57 311 9038743"/>
    <d v="2026-05-03T00:00:00"/>
    <s v="DIRECT"/>
    <b v="0"/>
    <n v="1"/>
    <d v="1899-12-30T00:49:00"/>
    <s v="terror con tensión y sin mucho gore"/>
    <s v="terror con tensión y sin mucho gore"/>
    <x v="1"/>
    <b v="0"/>
    <b v="0"/>
    <n v="6.1165500000000001E-3"/>
    <n v="5"/>
    <s v="Hunting Creatures"/>
    <n v="0.38279999999999997"/>
    <m/>
    <m/>
    <m/>
    <m/>
    <m/>
    <n v="1"/>
    <n v="0"/>
  </r>
  <r>
    <s v="c2962da4-0e28-4d96-8c4f-56ecca441d95"/>
    <s v="57 313 4315342"/>
    <d v="2026-05-03T00:00:00"/>
    <s v="DIRECT"/>
    <b v="0"/>
    <n v="1"/>
    <d v="1899-12-30T02:14:00"/>
    <s v="una peli chévere"/>
    <s v="una peli chévere"/>
    <x v="1"/>
    <b v="0"/>
    <b v="0"/>
    <n v="4.6504166666666603E-3"/>
    <n v="5"/>
    <s v="The World's Gold"/>
    <n v="0.24990000000000001"/>
    <m/>
    <m/>
    <m/>
    <m/>
    <m/>
    <n v="1"/>
    <n v="0"/>
  </r>
  <r>
    <s v="c2f97981-b223-4b7e-a868-5850e950cc67"/>
    <s v="57 312 2287022"/>
    <d v="2026-05-03T00:00:00"/>
    <s v="DIRECT"/>
    <b v="0"/>
    <n v="1"/>
    <d v="1899-12-30T00:12:00"/>
    <s v="terror con asesino pero más psicológico"/>
    <s v="terror con asesino pero más psicológico"/>
    <x v="1"/>
    <b v="0"/>
    <b v="0"/>
    <n v="9.2050666666666607E-3"/>
    <n v="5"/>
    <s v="Piazza Fontana: The Italian Conspiracy"/>
    <n v="0.34639999999999999"/>
    <m/>
    <m/>
    <m/>
    <m/>
    <m/>
    <n v="1"/>
    <n v="0"/>
  </r>
  <r>
    <s v="c55476cd-e721-465a-bf9e-b8760716bf2f"/>
    <s v="57 311 5817960"/>
    <d v="2026-05-03T00:00:00"/>
    <s v="DIRECT"/>
    <b v="0"/>
    <n v="1"/>
    <d v="1899-12-30T07:33:00"/>
    <s v="algo interesante sin más"/>
    <s v="algo interesante sin más"/>
    <x v="1"/>
    <b v="0"/>
    <b v="0"/>
    <n v="3.6918166666666599E-3"/>
    <n v="5"/>
    <s v="Illiterate"/>
    <n v="0.31680000000000003"/>
    <m/>
    <m/>
    <m/>
    <m/>
    <m/>
    <n v="1"/>
    <n v="0"/>
  </r>
  <r>
    <s v="c5cdbfdb-4aa8-4380-8c10-4320ed42981d"/>
    <s v="57 311 2710867"/>
    <d v="2026-05-03T00:00:00"/>
    <s v="RAG"/>
    <b v="1"/>
    <n v="1"/>
    <d v="1899-12-30T04:08:00"/>
    <s v="algo que esté bien"/>
    <s v="algo que esté bien"/>
    <x v="0"/>
    <b v="1"/>
    <b v="0"/>
    <n v="5.1064166666666602E-3"/>
    <n v="5"/>
    <s v="Juro que te amo"/>
    <n v="0.47939999999999999"/>
    <m/>
    <m/>
    <m/>
    <m/>
    <m/>
    <n v="1"/>
    <n v="0"/>
  </r>
  <r>
    <s v="c9272f2b-015c-46db-9a77-6b069392409d"/>
    <s v="57 314 8862721"/>
    <d v="2026-05-03T00:00:00"/>
    <s v="DIRECT"/>
    <b v="0"/>
    <n v="1"/>
    <d v="1899-12-30T10:40:00"/>
    <s v="quiero algo que me deje pensando pero que disfrute"/>
    <s v="quiero algo que me deje pensando pero que disfrute"/>
    <x v="1"/>
    <b v="0"/>
    <b v="0"/>
    <n v="3.6580333333333299E-3"/>
    <n v="5"/>
    <s v="Juro que te amo"/>
    <n v="0.66259999999999997"/>
    <m/>
    <m/>
    <m/>
    <m/>
    <m/>
    <n v="1"/>
    <n v="0"/>
  </r>
  <r>
    <s v="22f6e3ce-5030-463e-865f-6b80fd4aef30"/>
    <s v="57 312 1727445"/>
    <d v="2026-05-02T00:00:00"/>
    <s v="RAG"/>
    <b v="1"/>
    <n v="1"/>
    <d v="1899-12-30T03:54:00"/>
    <s v="terror con suspenso psicológico"/>
    <s v="terror con suspenso psicológico"/>
    <x v="0"/>
    <b v="1"/>
    <b v="0"/>
    <n v="6.1865333333333298E-3"/>
    <n v="5"/>
    <s v="Utusan Iblis: Dia Yang Berada di Antara Kita"/>
    <n v="0.35780000000000001"/>
    <m/>
    <m/>
    <m/>
    <m/>
    <m/>
    <n v="1"/>
    <n v="0"/>
  </r>
  <r>
    <s v="d45abd97-7f45-40c7-8ca3-9a3a13e4f5a3"/>
    <s v="57 315 4661851"/>
    <d v="2026-05-03T00:00:00"/>
    <s v="DIRECT"/>
    <b v="0"/>
    <n v="1"/>
    <d v="1899-12-30T04:32:00"/>
    <s v="algo para esta noche"/>
    <s v="algo para esta noche"/>
    <x v="1"/>
    <b v="0"/>
    <b v="0"/>
    <n v="6.2233666666666604E-3"/>
    <n v="5"/>
    <s v="¡Qué madre, tan padre!"/>
    <n v="0.28299999999999997"/>
    <m/>
    <m/>
    <m/>
    <m/>
    <m/>
    <n v="1"/>
    <n v="0"/>
  </r>
  <r>
    <s v="d466bcdc-669a-4fa1-9116-0dd761a3aec3"/>
    <s v="57 319 2107176"/>
    <d v="2026-05-03T00:00:00"/>
    <s v="RAG"/>
    <b v="1"/>
    <n v="1"/>
    <d v="1899-12-30T01:56:00"/>
    <s v="quiero ver una película"/>
    <s v="quiero ver una película"/>
    <x v="0"/>
    <b v="1"/>
    <b v="0"/>
    <n v="5.1116499999999997E-3"/>
    <n v="5"/>
    <s v="Muchachos, la película de la gente"/>
    <n v="0.441"/>
    <m/>
    <m/>
    <m/>
    <m/>
    <m/>
    <n v="1"/>
    <n v="0"/>
  </r>
  <r>
    <s v="d55971a3-eddb-440c-9e58-95b14b63cf43"/>
    <s v="57 319 3829162"/>
    <d v="2026-05-03T00:00:00"/>
    <s v="DIRECT"/>
    <b v="0"/>
    <n v="1"/>
    <d v="1899-12-30T07:21:00"/>
    <s v="algo que esté bueno"/>
    <s v="algo que esté bueno"/>
    <x v="1"/>
    <b v="0"/>
    <b v="0"/>
    <n v="5.26653333333333E-3"/>
    <n v="5"/>
    <s v="Juro que te amo"/>
    <n v="0.50290000000000001"/>
    <m/>
    <m/>
    <m/>
    <m/>
    <m/>
    <n v="1"/>
    <n v="0"/>
  </r>
  <r>
    <s v="db3c3f49-3965-4ea1-b695-d5114496b465"/>
    <s v="57 316 7405894"/>
    <d v="2026-05-03T00:00:00"/>
    <s v="DIRECT"/>
    <b v="0"/>
    <n v="1"/>
    <d v="1899-12-30T11:27:00"/>
    <s v="algo que me atrape rápido pero no sea superficial"/>
    <s v="algo que me atrape rápido pero no sea superficial"/>
    <x v="1"/>
    <b v="0"/>
    <b v="0"/>
    <n v="4.7392333333333304E-3"/>
    <n v="5"/>
    <s v="Juro que te amo"/>
    <n v="0.43740000000000001"/>
    <m/>
    <m/>
    <m/>
    <m/>
    <m/>
    <n v="1"/>
    <n v="0"/>
  </r>
  <r>
    <s v="dcf7c023-c4d2-4f5b-893b-6ee12ac9405f"/>
    <s v="57 319 3531397"/>
    <d v="2026-05-03T00:00:00"/>
    <s v="DIRECT"/>
    <b v="0"/>
    <n v="1"/>
    <d v="1899-12-30T13:02:00"/>
    <s v="algo que sea distinto pero que conecte conmigo"/>
    <s v="algo que sea distinto pero que conecte conmigo"/>
    <x v="1"/>
    <b v="0"/>
    <b v="0"/>
    <n v="5.0883166666666601E-3"/>
    <n v="5"/>
    <s v="Juro que te amo"/>
    <n v="0.67579999999999996"/>
    <m/>
    <m/>
    <m/>
    <m/>
    <m/>
    <n v="1"/>
    <n v="0"/>
  </r>
  <r>
    <s v="dd17b07b-afea-49a6-9ae5-20f6660d3ac7"/>
    <s v="57 319 5847119"/>
    <d v="2026-05-03T00:00:00"/>
    <s v="DIRECT"/>
    <b v="0"/>
    <n v="1"/>
    <d v="1899-12-30T03:22:00"/>
    <s v="una peli relajada"/>
    <s v="una peli relajada"/>
    <x v="1"/>
    <b v="0"/>
    <b v="0"/>
    <n v="6.4222166666666599E-3"/>
    <n v="5"/>
    <s v="Helga y Flora"/>
    <n v="0.27560000000000001"/>
    <m/>
    <m/>
    <m/>
    <m/>
    <m/>
    <n v="1"/>
    <n v="0"/>
  </r>
  <r>
    <s v="df959dee-1d11-4238-8d6e-6e14a88fac6c"/>
    <s v="57 317 6531730"/>
    <d v="2026-05-03T00:00:00"/>
    <s v="DIRECT"/>
    <b v="0"/>
    <n v="1"/>
    <d v="1899-12-30T14:17:00"/>
    <s v="quiero una película que fluya bien y no se sienta larga"/>
    <s v="quiero una película que fluya bien y no se sienta larga"/>
    <x v="1"/>
    <b v="0"/>
    <b v="0"/>
    <n v="4.8417E-3"/>
    <n v="5"/>
    <s v="Juro que te amo"/>
    <n v="0.3901"/>
    <m/>
    <m/>
    <m/>
    <m/>
    <m/>
    <n v="1"/>
    <n v="0"/>
  </r>
  <r>
    <s v="e242179a-fb16-45b1-94c4-a89dcd7821a3"/>
    <s v="57 319 1141089"/>
    <d v="2026-05-03T00:00:00"/>
    <s v="DIRECT"/>
    <b v="0"/>
    <n v="1"/>
    <d v="1899-12-30T04:17:00"/>
    <s v="recomiéndame algo bueno"/>
    <s v="recomiéndame algo bueno"/>
    <x v="1"/>
    <b v="0"/>
    <b v="0"/>
    <n v="7.8411999999999996E-3"/>
    <n v="5"/>
    <s v="Natale in Sudafrica"/>
    <n v="0.2293"/>
    <m/>
    <m/>
    <m/>
    <m/>
    <m/>
    <n v="1"/>
    <n v="0"/>
  </r>
  <r>
    <s v="e29d2f57-6d56-4630-b3f8-aa55984cea3b"/>
    <s v="57 313 7038946"/>
    <d v="2026-05-03T00:00:00"/>
    <s v="RAG"/>
    <b v="1"/>
    <n v="1"/>
    <d v="1899-12-30T05:14:00"/>
    <s v="una película ligera"/>
    <s v="una película ligera"/>
    <x v="0"/>
    <b v="1"/>
    <b v="0"/>
    <n v="4.4822333333333301E-3"/>
    <n v="5"/>
    <s v="Muchachos, la película de la gente"/>
    <n v="0.40400000000000003"/>
    <m/>
    <m/>
    <m/>
    <m/>
    <m/>
    <n v="1"/>
    <n v="0"/>
  </r>
  <r>
    <s v="e3a1bcef-1786-41b4-b6f1-8194fcbbf49d"/>
    <s v="57 316 5231120"/>
    <d v="2026-05-03T00:00:00"/>
    <s v="DIRECT"/>
    <b v="0"/>
    <n v="1"/>
    <d v="1899-12-30T04:54:00"/>
    <s v="algo suave para ver"/>
    <s v="algo suave para ver"/>
    <x v="1"/>
    <b v="0"/>
    <b v="0"/>
    <n v="4.4396166666666598E-3"/>
    <n v="5"/>
    <s v="El amor que yo te dí"/>
    <n v="0.3906"/>
    <m/>
    <m/>
    <m/>
    <m/>
    <m/>
    <n v="1"/>
    <n v="0"/>
  </r>
  <r>
    <s v="e445f493-2beb-4880-9efd-da2ac8938154"/>
    <s v="57 319 7497196"/>
    <d v="2026-05-03T00:00:00"/>
    <s v="RAG"/>
    <b v="1"/>
    <n v="1"/>
    <d v="1899-12-30T08:18:00"/>
    <s v="una peli que esté bien"/>
    <s v="una peli que esté bien"/>
    <x v="0"/>
    <b v="1"/>
    <b v="0"/>
    <n v="3.9959499999999998E-3"/>
    <n v="5"/>
    <s v="Juro que te amo"/>
    <n v="0.44779999999999998"/>
    <m/>
    <m/>
    <m/>
    <m/>
    <m/>
    <n v="1"/>
    <n v="0"/>
  </r>
  <r>
    <s v="e6da317a-9cbf-468f-aedd-d82f5b105299"/>
    <s v="57 316 1378315"/>
    <d v="2026-05-03T00:00:00"/>
    <s v="RAG"/>
    <b v="1"/>
    <n v="1"/>
    <d v="1899-12-30T01:35:00"/>
    <s v="una peli buena"/>
    <s v="una peli buena"/>
    <x v="0"/>
    <b v="1"/>
    <b v="0"/>
    <n v="5.2178166666666604E-3"/>
    <n v="5"/>
    <s v="¡Qué madre, tan padre!"/>
    <n v="0.30120000000000002"/>
    <m/>
    <m/>
    <m/>
    <m/>
    <m/>
    <n v="1"/>
    <n v="0"/>
  </r>
  <r>
    <s v="e871cccc-9819-45f6-8e3e-25f71f2e0a19"/>
    <s v="57 313 9355778"/>
    <d v="2026-05-03T00:00:00"/>
    <s v="RAG"/>
    <b v="1"/>
    <n v="1"/>
    <d v="1899-12-30T09:08:00"/>
    <s v="algo que me mantenga enganchado pero sin ser muy pesado"/>
    <s v="algo que me mantenga enganchado pero sin ser muy pesado"/>
    <x v="0"/>
    <b v="1"/>
    <b v="0"/>
    <n v="4.3839666666666598E-3"/>
    <n v="5"/>
    <s v="Juro que te amo"/>
    <n v="0.44869999999999999"/>
    <m/>
    <m/>
    <m/>
    <m/>
    <m/>
    <n v="1"/>
    <n v="0"/>
  </r>
  <r>
    <s v="efa2e042-cbff-4d79-ba02-3bca3dc3834d"/>
    <s v="57 319 3119970"/>
    <d v="2026-05-03T00:00:00"/>
    <s v="RAG"/>
    <b v="1"/>
    <n v="1"/>
    <d v="1899-12-30T02:20:00"/>
    <s v="algo entretenido"/>
    <s v="algo entretenido"/>
    <x v="0"/>
    <b v="1"/>
    <b v="0"/>
    <n v="3.9548166666666601E-3"/>
    <n v="5"/>
    <s v="Helga y Flora"/>
    <n v="0.246"/>
    <m/>
    <m/>
    <m/>
    <m/>
    <m/>
    <n v="1"/>
    <n v="0"/>
  </r>
  <r>
    <s v="f0ffe380-3a9b-478c-ab81-6a6dea143a40"/>
    <s v="57 319 5366682"/>
    <d v="2026-05-03T00:00:00"/>
    <s v="DIRECT"/>
    <b v="0"/>
    <n v="1"/>
    <d v="1899-12-30T13:47:00"/>
    <s v="una película que sea interesante y relajada al mismo tiempo"/>
    <s v="una película que sea interesante y relajada al mismo tiempo"/>
    <x v="1"/>
    <b v="0"/>
    <b v="0"/>
    <n v="3.68518333333333E-3"/>
    <n v="5"/>
    <s v="Juro que te amo"/>
    <n v="0.4849"/>
    <m/>
    <m/>
    <m/>
    <m/>
    <m/>
    <n v="1"/>
    <n v="0"/>
  </r>
  <r>
    <s v="0db6667d-8b3e-4a96-8750-f97ac73ddbbf"/>
    <s v="57 317 4080274"/>
    <d v="2026-05-02T00:00:00"/>
    <s v="DIRECT"/>
    <b v="0"/>
    <n v="1"/>
    <d v="1899-12-30T02:33:00"/>
    <s v="terror psicológico con pocos personajes"/>
    <s v="terror psicológico con pocos personajes"/>
    <x v="1"/>
    <b v="0"/>
    <b v="0"/>
    <n v="1.8205783333333302E-2"/>
    <n v="5"/>
    <s v="Utusan Iblis: Dia Yang Berada di Antara Kita"/>
    <n v="0.35780000000000001"/>
    <m/>
    <m/>
    <m/>
    <m/>
    <m/>
    <n v="1"/>
    <n v="0"/>
  </r>
  <r>
    <s v="f6b49006-e4c6-450d-b140-5a12f9d7fd76"/>
    <s v="57 311 4648962"/>
    <d v="2026-05-03T00:00:00"/>
    <s v="RAG"/>
    <b v="1"/>
    <n v="1"/>
    <d v="1899-12-30T09:23:00"/>
    <s v="quiero algo diferente pero que no sea raro"/>
    <s v="quiero algo diferente pero que no sea raro"/>
    <x v="0"/>
    <b v="1"/>
    <b v="0"/>
    <n v="5.8127666666666598E-3"/>
    <n v="5"/>
    <s v="Juro que te amo"/>
    <n v="0.50860000000000005"/>
    <m/>
    <m/>
    <m/>
    <m/>
    <m/>
    <n v="1"/>
    <n v="0"/>
  </r>
  <r>
    <s v="f7348c47-7f6d-4a2a-9476-c728a6d16cb1"/>
    <s v="57 315 5167727"/>
    <d v="2026-05-03T00:00:00"/>
    <s v="RAG"/>
    <b v="1"/>
    <n v="1"/>
    <d v="1899-12-30T06:14:00"/>
    <s v="una peli sencilla"/>
    <s v="una peli sencilla"/>
    <x v="0"/>
    <b v="1"/>
    <b v="0"/>
    <n v="2.28647333333333E-2"/>
    <n v="5"/>
    <s v="Illiterate"/>
    <n v="0.27839999999999998"/>
    <m/>
    <m/>
    <m/>
    <m/>
    <m/>
    <n v="1"/>
    <n v="0"/>
  </r>
  <r>
    <s v="f969f55a-c16b-4e77-951d-53f25d3b347e"/>
    <s v="57 319 1944564"/>
    <d v="2026-05-03T00:00:00"/>
    <s v="RAG"/>
    <b v="1"/>
    <n v="1"/>
    <d v="1899-12-30T01:01:00"/>
    <s v="romance con diferencias sociales"/>
    <s v="romance con diferencias sociales"/>
    <x v="0"/>
    <b v="1"/>
    <b v="0"/>
    <n v="8.9073666666666593E-3"/>
    <n v="5"/>
    <s v="Romance en tres noches"/>
    <n v="0.72199999999999998"/>
    <m/>
    <m/>
    <m/>
    <m/>
    <m/>
    <n v="1"/>
    <n v="0"/>
  </r>
  <r>
    <s v="f9bed181-42d7-40b7-a654-03bb7c3f39ed"/>
    <s v="57 318 4021759"/>
    <d v="2026-05-03T00:00:00"/>
    <s v="RAG"/>
    <b v="1"/>
    <n v="1"/>
    <d v="1899-12-30T05:30:00"/>
    <s v="una peli entretenida"/>
    <s v="una peli entretenida"/>
    <x v="0"/>
    <b v="1"/>
    <b v="0"/>
    <n v="4.8477666666666601E-3"/>
    <n v="5"/>
    <s v="Muchachos, la película de la gente"/>
    <n v="0.29759999999999998"/>
    <m/>
    <m/>
    <m/>
    <m/>
    <m/>
    <n v="1"/>
    <n v="0"/>
  </r>
  <r>
    <s v="fe9645c8-7fee-45b6-bdea-2bbecc960ea6"/>
    <s v="57 313 1228026"/>
    <d v="2026-05-03T00:00:00"/>
    <s v="RAG"/>
    <b v="1"/>
    <n v="1"/>
    <d v="1899-12-30T03:28:00"/>
    <s v="algo bueno de ver"/>
    <s v="algo bueno de ver"/>
    <x v="0"/>
    <b v="1"/>
    <b v="0"/>
    <n v="3.75258333333333E-3"/>
    <n v="5"/>
    <s v="Nobody knows anything"/>
    <n v="0.22789999999999999"/>
    <m/>
    <m/>
    <m/>
    <m/>
    <m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5AB31-5759-49F8-87C1-6791B96B231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12" firstHeaderRow="0" firstDataRow="1" firstDataCol="1"/>
  <pivotFields count="23">
    <pivotField showAll="0"/>
    <pivotField showAll="0"/>
    <pivotField numFmtId="14" showAll="0"/>
    <pivotField showAll="0"/>
    <pivotField showAll="0"/>
    <pivotField showAll="0"/>
    <pivotField numFmtId="20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21" baseField="0" baseItem="0"/>
    <dataField name="Sum of Survey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9071B-26FD-4FB4-81DF-FC5CE521EC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23">
    <pivotField showAll="0"/>
    <pivotField showAll="0"/>
    <pivotField numFmtId="14" showAll="0"/>
    <pivotField showAll="0"/>
    <pivotField showAll="0"/>
    <pivotField showAll="0"/>
    <pivotField numFmtId="20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sat_score" fld="16" subtotal="average" baseField="9" baseItem="0"/>
    <dataField name="Average of nps_score" fld="17" subtotal="average" baseField="9" baseItem="0"/>
    <dataField name="Average of resolution_numeric" fld="20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46D661-7AF7-4B7A-ADD5-36F3E7A37588}" name="Table1" displayName="Table1" ref="A1:X340" totalsRowShown="0">
  <autoFilter ref="A1:X340" xr:uid="{FA46D661-7AF7-4B7A-ADD5-36F3E7A37588}">
    <filterColumn colId="16">
      <filters blank="1"/>
    </filterColumn>
  </autoFilter>
  <sortState xmlns:xlrd2="http://schemas.microsoft.com/office/spreadsheetml/2017/richdata2" ref="A2:X340">
    <sortCondition ref="U1:U340"/>
  </sortState>
  <tableColumns count="24">
    <tableColumn id="1" xr3:uid="{BEE36A34-DF8B-4C14-817F-A60CB24CF077}" name="session_id"/>
    <tableColumn id="2" xr3:uid="{489C8010-065F-4708-B98B-038F0C7EFE6D}" name="user_id"/>
    <tableColumn id="3" xr3:uid="{995FBED5-E2E0-4862-B45E-FD922FAD91DD}" name="created_at" dataDxfId="5"/>
    <tableColumn id="4" xr3:uid="{3F127E48-AF5E-4C84-B71D-9CA01D345868}" name="session_mode"/>
    <tableColumn id="5" xr3:uid="{B199B05C-CFD7-47B8-8F94-7BF1E0073A2A}" name="session_use_rag"/>
    <tableColumn id="6" xr3:uid="{5E5BE8B6-C8E1-4CA0-A011-CE90508CEBEE}" name="interaction_number"/>
    <tableColumn id="7" xr3:uid="{4F1F7358-7C76-4B7D-8E51-12AE9D2887DF}" name="timestamp" dataDxfId="4"/>
    <tableColumn id="8" xr3:uid="{CFE61A2D-2F17-4B20-BE6E-517E03909218}" name="query"/>
    <tableColumn id="9" xr3:uid="{10BC058F-3505-4A3B-9EE4-CF2E0E7FC03B}" name="routed_query"/>
    <tableColumn id="10" xr3:uid="{EC9FFE93-506A-42A7-BE37-9F4720BD834A}" name="mode"/>
    <tableColumn id="11" xr3:uid="{2ED22049-CD7B-4D07-9D0C-998B4F8E08ED}" name="use_rag"/>
    <tableColumn id="12" xr3:uid="{B2942F90-B520-4F2E-B4B1-209DF98AE979}" name="used_cache"/>
    <tableColumn id="13" xr3:uid="{54F15B37-8997-4F63-A208-3483ED8BC186}" name="latency_min"/>
    <tableColumn id="14" xr3:uid="{847C09F7-343A-4DF6-AA80-346ABA8C92BE}" name="results_count"/>
    <tableColumn id="15" xr3:uid="{AB810936-403E-4234-8A30-6939CCA00284}" name="title_response"/>
    <tableColumn id="16" xr3:uid="{88FF4530-3275-46C5-AC40-7C70311864EA}" name="score_response"/>
    <tableColumn id="17" xr3:uid="{5CA8A7C2-A3C9-470D-A77E-122635B0F254}" name="csat_score"/>
    <tableColumn id="18" xr3:uid="{028A417F-EFF5-4420-86BA-35C0344196C0}" name="nps_score"/>
    <tableColumn id="21" xr3:uid="{786B5493-9764-4D88-AEB7-70C7A39CCB73}" name="resolution_numeric"/>
    <tableColumn id="24" xr3:uid="{E5EAD763-1CDF-4CE3-90B1-8C42D911018D}" name="csat_category" dataDxfId="3">
      <calculatedColumnFormula>_xlfn.XLOOKUP(Table1[[#This Row],[csat_score]],Sheet2!A:A,Sheet2!D:D)</calculatedColumnFormula>
    </tableColumn>
    <tableColumn id="19" xr3:uid="{E5AE2BAF-07DA-4ABF-821C-81771A5E2F78}" name="nps_category">
      <calculatedColumnFormula>_xlfn.XLOOKUP(Table1[[#This Row],[nps_score]],Sheet2!B:B,Sheet2!E:E)</calculatedColumnFormula>
    </tableColumn>
    <tableColumn id="20" xr3:uid="{B425952D-4C85-405F-9B04-C58F5C7E2B0E}" name="resolution_label">
      <calculatedColumnFormula>_xlfn.XLOOKUP(Table1[[#This Row],[resolution_numeric]],Sheet2!C:C,Sheet2!F:F)</calculatedColumnFormula>
    </tableColumn>
    <tableColumn id="22" xr3:uid="{86997A3E-6DD4-4A08-97CF-0AB9197940D1}" name="Total" dataDxfId="2">
      <calculatedColumnFormula>1</calculatedColumnFormula>
    </tableColumn>
    <tableColumn id="23" xr3:uid="{A35C6948-2FDA-4739-876B-76DD93CC28BA}" name="Surveys" dataDxfId="1">
      <calculatedColumnFormula>IF(ISBLANK(Table1[[#This Row],[nps_category]]),0,1)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83BC-BB97-4AD3-BB92-6D337F1874B7}">
  <dimension ref="A3:E12"/>
  <sheetViews>
    <sheetView workbookViewId="0">
      <selection activeCell="L14" sqref="L14"/>
    </sheetView>
  </sheetViews>
  <sheetFormatPr defaultRowHeight="15" x14ac:dyDescent="0.25"/>
  <cols>
    <col min="1" max="1" width="13.42578125" bestFit="1" customWidth="1"/>
    <col min="2" max="2" width="12.140625" bestFit="1" customWidth="1"/>
    <col min="3" max="3" width="15" bestFit="1" customWidth="1"/>
    <col min="4" max="4" width="29" bestFit="1" customWidth="1"/>
  </cols>
  <sheetData>
    <row r="3" spans="1:5" x14ac:dyDescent="0.25">
      <c r="A3" s="4" t="s">
        <v>1129</v>
      </c>
      <c r="B3" t="s">
        <v>1131</v>
      </c>
      <c r="C3" t="s">
        <v>1132</v>
      </c>
      <c r="D3" t="s">
        <v>1133</v>
      </c>
    </row>
    <row r="4" spans="1:5" x14ac:dyDescent="0.25">
      <c r="A4" s="5" t="s">
        <v>22</v>
      </c>
      <c r="B4">
        <v>4</v>
      </c>
      <c r="C4">
        <v>9.3333333333333339</v>
      </c>
      <c r="D4">
        <v>2.4814814814814814</v>
      </c>
    </row>
    <row r="5" spans="1:5" x14ac:dyDescent="0.25">
      <c r="A5" s="5" t="s">
        <v>45</v>
      </c>
      <c r="B5">
        <v>4.3658536585365857</v>
      </c>
      <c r="C5">
        <v>9.0975609756097562</v>
      </c>
      <c r="D5">
        <v>2.3170731707317072</v>
      </c>
    </row>
    <row r="6" spans="1:5" x14ac:dyDescent="0.25">
      <c r="A6" s="5" t="s">
        <v>1130</v>
      </c>
      <c r="B6">
        <v>4.2205882352941178</v>
      </c>
      <c r="C6">
        <v>9.1911764705882355</v>
      </c>
      <c r="D6">
        <v>2.3823529411764706</v>
      </c>
    </row>
    <row r="9" spans="1:5" x14ac:dyDescent="0.25">
      <c r="A9" s="4" t="s">
        <v>1129</v>
      </c>
      <c r="B9" t="s">
        <v>1136</v>
      </c>
      <c r="C9" t="s">
        <v>1137</v>
      </c>
    </row>
    <row r="10" spans="1:5" x14ac:dyDescent="0.25">
      <c r="A10" s="5" t="s">
        <v>22</v>
      </c>
      <c r="B10">
        <v>164</v>
      </c>
      <c r="C10">
        <v>27</v>
      </c>
    </row>
    <row r="11" spans="1:5" x14ac:dyDescent="0.25">
      <c r="A11" s="5" t="s">
        <v>45</v>
      </c>
      <c r="B11">
        <v>175</v>
      </c>
      <c r="C11">
        <v>41</v>
      </c>
    </row>
    <row r="12" spans="1:5" x14ac:dyDescent="0.25">
      <c r="A12" s="5" t="s">
        <v>1130</v>
      </c>
      <c r="B12">
        <v>339</v>
      </c>
      <c r="C12">
        <v>68</v>
      </c>
      <c r="D12" s="6">
        <f>C12/B12</f>
        <v>0.20058997050147492</v>
      </c>
      <c r="E1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0E5D-E2B8-4A82-A6A9-1A046B3A3440}">
  <dimension ref="A1:X340"/>
  <sheetViews>
    <sheetView tabSelected="1" topLeftCell="M249" workbookViewId="0">
      <selection activeCell="U265" sqref="U265"/>
    </sheetView>
  </sheetViews>
  <sheetFormatPr defaultRowHeight="15" x14ac:dyDescent="0.25"/>
  <cols>
    <col min="1" max="1" width="12.7109375" customWidth="1"/>
    <col min="2" max="2" width="9.7109375" customWidth="1"/>
    <col min="3" max="3" width="12.5703125" customWidth="1"/>
    <col min="4" max="4" width="16.140625" customWidth="1"/>
    <col min="5" max="5" width="17.85546875" customWidth="1"/>
    <col min="6" max="6" width="20.85546875" customWidth="1"/>
    <col min="7" max="7" width="12.85546875" customWidth="1"/>
    <col min="8" max="8" width="68" customWidth="1"/>
    <col min="9" max="9" width="134.85546875" customWidth="1"/>
    <col min="10" max="10" width="0" hidden="1" customWidth="1"/>
    <col min="11" max="11" width="10" hidden="1" customWidth="1"/>
    <col min="12" max="12" width="13.7109375" hidden="1" customWidth="1"/>
    <col min="13" max="13" width="13.28515625" customWidth="1"/>
    <col min="14" max="14" width="15.42578125" hidden="1" customWidth="1"/>
    <col min="15" max="15" width="63" bestFit="1" customWidth="1"/>
    <col min="16" max="16" width="17.42578125" customWidth="1"/>
    <col min="17" max="17" width="12.7109375" customWidth="1"/>
    <col min="18" max="18" width="12.28515625" customWidth="1"/>
    <col min="19" max="20" width="15" customWidth="1"/>
    <col min="21" max="21" width="17.7109375" customWidth="1"/>
    <col min="22" max="22" width="20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1143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19</v>
      </c>
      <c r="T1" t="s">
        <v>1142</v>
      </c>
      <c r="U1" t="s">
        <v>17</v>
      </c>
      <c r="V1" t="s">
        <v>18</v>
      </c>
      <c r="W1" t="s">
        <v>1134</v>
      </c>
      <c r="X1" t="s">
        <v>1135</v>
      </c>
    </row>
    <row r="2" spans="1:24" hidden="1" x14ac:dyDescent="0.25">
      <c r="A2" t="s">
        <v>310</v>
      </c>
      <c r="B2" t="s">
        <v>311</v>
      </c>
      <c r="C2" s="1">
        <v>46134</v>
      </c>
      <c r="D2" t="s">
        <v>45</v>
      </c>
      <c r="E2" t="b">
        <v>1</v>
      </c>
      <c r="F2">
        <v>1</v>
      </c>
      <c r="G2" s="2">
        <v>0.80277777777777781</v>
      </c>
      <c r="H2" t="s">
        <v>222</v>
      </c>
      <c r="I2" t="s">
        <v>222</v>
      </c>
      <c r="J2" t="s">
        <v>45</v>
      </c>
      <c r="K2" t="b">
        <v>1</v>
      </c>
      <c r="L2" t="b">
        <v>0</v>
      </c>
      <c r="M2">
        <v>16.808049999999902</v>
      </c>
      <c r="N2">
        <v>5</v>
      </c>
      <c r="O2" t="s">
        <v>312</v>
      </c>
      <c r="P2">
        <v>5.4800000000000001E-2</v>
      </c>
      <c r="Q2">
        <v>2</v>
      </c>
      <c r="R2">
        <v>3</v>
      </c>
      <c r="S2">
        <v>1</v>
      </c>
      <c r="T2" t="str">
        <f>_xlfn.XLOOKUP(Table1[[#This Row],[csat_score]],Sheet2!A:A,Sheet2!D:D)</f>
        <v>Baja</v>
      </c>
      <c r="U2" t="str">
        <f>_xlfn.XLOOKUP(Table1[[#This Row],[nps_score]],Sheet2!B:B,Sheet2!E:E)</f>
        <v>detractor</v>
      </c>
      <c r="V2" t="str">
        <f>_xlfn.XLOOKUP(Table1[[#This Row],[resolution_numeric]],Sheet2!C:C,Sheet2!F:F)</f>
        <v>no</v>
      </c>
      <c r="W2">
        <f>1</f>
        <v>1</v>
      </c>
      <c r="X2">
        <f>IF(ISBLANK(Table1[[#This Row],[nps_category]]),0,1)</f>
        <v>1</v>
      </c>
    </row>
    <row r="3" spans="1:24" hidden="1" x14ac:dyDescent="0.25">
      <c r="A3" t="s">
        <v>895</v>
      </c>
      <c r="B3" t="s">
        <v>72</v>
      </c>
      <c r="C3" s="1">
        <v>46131</v>
      </c>
      <c r="D3" t="s">
        <v>45</v>
      </c>
      <c r="E3" t="b">
        <v>1</v>
      </c>
      <c r="F3">
        <v>1</v>
      </c>
      <c r="G3" s="2">
        <v>0.11041666666666666</v>
      </c>
      <c r="H3" t="s">
        <v>896</v>
      </c>
      <c r="I3" t="s">
        <v>896</v>
      </c>
      <c r="J3" t="s">
        <v>45</v>
      </c>
      <c r="K3" t="b">
        <v>1</v>
      </c>
      <c r="L3" t="b">
        <v>0</v>
      </c>
      <c r="M3">
        <v>2.4817166666666597</v>
      </c>
      <c r="N3">
        <v>5</v>
      </c>
      <c r="O3" t="s">
        <v>897</v>
      </c>
      <c r="P3">
        <v>0.13420000000000001</v>
      </c>
      <c r="Q3">
        <v>5</v>
      </c>
      <c r="R3">
        <v>7</v>
      </c>
      <c r="S3">
        <v>1</v>
      </c>
      <c r="T3" t="str">
        <f>_xlfn.XLOOKUP(Table1[[#This Row],[csat_score]],Sheet2!A:A,Sheet2!D:D)</f>
        <v>Alta</v>
      </c>
      <c r="U3" t="str">
        <f>_xlfn.XLOOKUP(Table1[[#This Row],[nps_score]],Sheet2!B:B,Sheet2!E:E)</f>
        <v>passive</v>
      </c>
      <c r="V3" t="str">
        <f>_xlfn.XLOOKUP(Table1[[#This Row],[resolution_numeric]],Sheet2!C:C,Sheet2!F:F)</f>
        <v>no</v>
      </c>
      <c r="W3">
        <f>1</f>
        <v>1</v>
      </c>
      <c r="X3">
        <f>IF(ISBLANK(Table1[[#This Row],[nps_category]]),0,1)</f>
        <v>1</v>
      </c>
    </row>
    <row r="4" spans="1:24" hidden="1" x14ac:dyDescent="0.25">
      <c r="A4" t="s">
        <v>895</v>
      </c>
      <c r="B4" t="s">
        <v>72</v>
      </c>
      <c r="C4" s="1">
        <v>46131</v>
      </c>
      <c r="D4" t="s">
        <v>45</v>
      </c>
      <c r="E4" t="b">
        <v>1</v>
      </c>
      <c r="F4">
        <v>2</v>
      </c>
      <c r="G4" s="2">
        <v>0.11458333333333333</v>
      </c>
      <c r="H4" t="s">
        <v>898</v>
      </c>
      <c r="I4" t="s">
        <v>898</v>
      </c>
      <c r="J4" t="s">
        <v>45</v>
      </c>
      <c r="K4" t="b">
        <v>1</v>
      </c>
      <c r="L4" t="b">
        <v>0</v>
      </c>
      <c r="M4">
        <v>1.96285</v>
      </c>
      <c r="N4">
        <v>5</v>
      </c>
      <c r="O4" t="s">
        <v>899</v>
      </c>
      <c r="P4">
        <v>0.25240000000000001</v>
      </c>
      <c r="Q4">
        <v>5</v>
      </c>
      <c r="R4">
        <v>7</v>
      </c>
      <c r="S4">
        <v>1</v>
      </c>
      <c r="T4" t="str">
        <f>_xlfn.XLOOKUP(Table1[[#This Row],[csat_score]],Sheet2!A:A,Sheet2!D:D)</f>
        <v>Alta</v>
      </c>
      <c r="U4" t="str">
        <f>_xlfn.XLOOKUP(Table1[[#This Row],[nps_score]],Sheet2!B:B,Sheet2!E:E)</f>
        <v>passive</v>
      </c>
      <c r="V4" t="str">
        <f>_xlfn.XLOOKUP(Table1[[#This Row],[resolution_numeric]],Sheet2!C:C,Sheet2!F:F)</f>
        <v>no</v>
      </c>
      <c r="W4">
        <f>1</f>
        <v>1</v>
      </c>
      <c r="X4">
        <f>IF(ISBLANK(Table1[[#This Row],[nps_category]]),0,1)</f>
        <v>1</v>
      </c>
    </row>
    <row r="5" spans="1:24" hidden="1" x14ac:dyDescent="0.25">
      <c r="A5" t="s">
        <v>895</v>
      </c>
      <c r="B5" t="s">
        <v>72</v>
      </c>
      <c r="C5" s="1">
        <v>46131</v>
      </c>
      <c r="D5" t="s">
        <v>45</v>
      </c>
      <c r="E5" t="b">
        <v>1</v>
      </c>
      <c r="F5">
        <v>3</v>
      </c>
      <c r="G5" s="2">
        <v>0.11874999999999999</v>
      </c>
      <c r="H5" t="s">
        <v>900</v>
      </c>
      <c r="I5" t="s">
        <v>900</v>
      </c>
      <c r="J5" t="s">
        <v>45</v>
      </c>
      <c r="K5" t="b">
        <v>1</v>
      </c>
      <c r="L5" t="b">
        <v>0</v>
      </c>
      <c r="M5">
        <v>1.6333</v>
      </c>
      <c r="N5">
        <v>5</v>
      </c>
      <c r="O5" t="s">
        <v>901</v>
      </c>
      <c r="P5">
        <v>0.35089999999999999</v>
      </c>
      <c r="Q5">
        <v>5</v>
      </c>
      <c r="R5">
        <v>7</v>
      </c>
      <c r="S5">
        <v>1</v>
      </c>
      <c r="T5" t="str">
        <f>_xlfn.XLOOKUP(Table1[[#This Row],[csat_score]],Sheet2!A:A,Sheet2!D:D)</f>
        <v>Alta</v>
      </c>
      <c r="U5" t="str">
        <f>_xlfn.XLOOKUP(Table1[[#This Row],[nps_score]],Sheet2!B:B,Sheet2!E:E)</f>
        <v>passive</v>
      </c>
      <c r="V5" t="str">
        <f>_xlfn.XLOOKUP(Table1[[#This Row],[resolution_numeric]],Sheet2!C:C,Sheet2!F:F)</f>
        <v>no</v>
      </c>
      <c r="W5">
        <f>1</f>
        <v>1</v>
      </c>
      <c r="X5">
        <f>IF(ISBLANK(Table1[[#This Row],[nps_category]]),0,1)</f>
        <v>1</v>
      </c>
    </row>
    <row r="6" spans="1:24" hidden="1" x14ac:dyDescent="0.25">
      <c r="A6" t="s">
        <v>895</v>
      </c>
      <c r="B6" t="s">
        <v>72</v>
      </c>
      <c r="C6" s="1">
        <v>46131</v>
      </c>
      <c r="D6" t="s">
        <v>45</v>
      </c>
      <c r="E6" t="b">
        <v>1</v>
      </c>
      <c r="F6">
        <v>4</v>
      </c>
      <c r="G6" s="2">
        <v>0.12986111111111112</v>
      </c>
      <c r="H6" t="s">
        <v>902</v>
      </c>
      <c r="I6" t="s">
        <v>902</v>
      </c>
      <c r="J6" t="s">
        <v>45</v>
      </c>
      <c r="K6" t="b">
        <v>1</v>
      </c>
      <c r="L6" t="b">
        <v>0</v>
      </c>
      <c r="M6">
        <v>5.5396666666666601</v>
      </c>
      <c r="N6">
        <v>5</v>
      </c>
      <c r="O6" t="s">
        <v>903</v>
      </c>
      <c r="P6">
        <v>0.24840000000000001</v>
      </c>
      <c r="Q6">
        <v>5</v>
      </c>
      <c r="R6">
        <v>7</v>
      </c>
      <c r="S6">
        <v>1</v>
      </c>
      <c r="T6" t="str">
        <f>_xlfn.XLOOKUP(Table1[[#This Row],[csat_score]],Sheet2!A:A,Sheet2!D:D)</f>
        <v>Alta</v>
      </c>
      <c r="U6" t="str">
        <f>_xlfn.XLOOKUP(Table1[[#This Row],[nps_score]],Sheet2!B:B,Sheet2!E:E)</f>
        <v>passive</v>
      </c>
      <c r="V6" t="str">
        <f>_xlfn.XLOOKUP(Table1[[#This Row],[resolution_numeric]],Sheet2!C:C,Sheet2!F:F)</f>
        <v>no</v>
      </c>
      <c r="W6">
        <f>1</f>
        <v>1</v>
      </c>
      <c r="X6">
        <f>IF(ISBLANK(Table1[[#This Row],[nps_category]]),0,1)</f>
        <v>1</v>
      </c>
    </row>
    <row r="7" spans="1:24" hidden="1" x14ac:dyDescent="0.25">
      <c r="A7" t="s">
        <v>946</v>
      </c>
      <c r="B7" t="s">
        <v>947</v>
      </c>
      <c r="C7" s="1">
        <v>46131</v>
      </c>
      <c r="D7" t="s">
        <v>22</v>
      </c>
      <c r="E7" t="b">
        <v>0</v>
      </c>
      <c r="F7">
        <v>1</v>
      </c>
      <c r="G7" s="2">
        <v>0.10694444444444444</v>
      </c>
      <c r="H7" t="s">
        <v>948</v>
      </c>
      <c r="I7" t="s">
        <v>948</v>
      </c>
      <c r="J7" t="s">
        <v>22</v>
      </c>
      <c r="K7" t="b">
        <v>0</v>
      </c>
      <c r="L7" t="b">
        <v>0</v>
      </c>
      <c r="M7">
        <v>1.2540166666666601</v>
      </c>
      <c r="N7">
        <v>5</v>
      </c>
      <c r="O7" t="s">
        <v>503</v>
      </c>
      <c r="P7">
        <v>0.1434</v>
      </c>
      <c r="Q7">
        <v>3</v>
      </c>
      <c r="R7">
        <v>7</v>
      </c>
      <c r="S7">
        <v>2</v>
      </c>
      <c r="T7" t="str">
        <f>_xlfn.XLOOKUP(Table1[[#This Row],[csat_score]],Sheet2!A:A,Sheet2!D:D)</f>
        <v>Media</v>
      </c>
      <c r="U7" t="str">
        <f>_xlfn.XLOOKUP(Table1[[#This Row],[nps_score]],Sheet2!B:B,Sheet2!E:E)</f>
        <v>passive</v>
      </c>
      <c r="V7" t="str">
        <f>_xlfn.XLOOKUP(Table1[[#This Row],[resolution_numeric]],Sheet2!C:C,Sheet2!F:F)</f>
        <v>partial</v>
      </c>
      <c r="W7">
        <f>1</f>
        <v>1</v>
      </c>
      <c r="X7">
        <f>IF(ISBLANK(Table1[[#This Row],[nps_category]]),0,1)</f>
        <v>1</v>
      </c>
    </row>
    <row r="8" spans="1:24" hidden="1" x14ac:dyDescent="0.25">
      <c r="A8" t="s">
        <v>946</v>
      </c>
      <c r="B8" t="s">
        <v>947</v>
      </c>
      <c r="C8" s="1">
        <v>46131</v>
      </c>
      <c r="D8" t="s">
        <v>22</v>
      </c>
      <c r="E8" t="b">
        <v>0</v>
      </c>
      <c r="F8">
        <v>2</v>
      </c>
      <c r="G8" s="2">
        <v>0.1111111111111111</v>
      </c>
      <c r="H8" t="s">
        <v>949</v>
      </c>
      <c r="I8" t="s">
        <v>949</v>
      </c>
      <c r="J8" t="s">
        <v>22</v>
      </c>
      <c r="K8" t="b">
        <v>0</v>
      </c>
      <c r="L8" t="b">
        <v>0</v>
      </c>
      <c r="M8">
        <v>3.649</v>
      </c>
      <c r="N8">
        <v>5</v>
      </c>
      <c r="O8" t="s">
        <v>435</v>
      </c>
      <c r="P8">
        <v>0.10199999999999999</v>
      </c>
      <c r="Q8">
        <v>3</v>
      </c>
      <c r="R8">
        <v>7</v>
      </c>
      <c r="S8">
        <v>2</v>
      </c>
      <c r="T8" t="str">
        <f>_xlfn.XLOOKUP(Table1[[#This Row],[csat_score]],Sheet2!A:A,Sheet2!D:D)</f>
        <v>Media</v>
      </c>
      <c r="U8" t="str">
        <f>_xlfn.XLOOKUP(Table1[[#This Row],[nps_score]],Sheet2!B:B,Sheet2!E:E)</f>
        <v>passive</v>
      </c>
      <c r="V8" t="str">
        <f>_xlfn.XLOOKUP(Table1[[#This Row],[resolution_numeric]],Sheet2!C:C,Sheet2!F:F)</f>
        <v>partial</v>
      </c>
      <c r="W8">
        <f>1</f>
        <v>1</v>
      </c>
      <c r="X8">
        <f>IF(ISBLANK(Table1[[#This Row],[nps_category]]),0,1)</f>
        <v>1</v>
      </c>
    </row>
    <row r="9" spans="1:24" hidden="1" x14ac:dyDescent="0.25">
      <c r="A9" t="s">
        <v>946</v>
      </c>
      <c r="B9" t="s">
        <v>947</v>
      </c>
      <c r="C9" s="1">
        <v>46131</v>
      </c>
      <c r="D9" t="s">
        <v>22</v>
      </c>
      <c r="E9" t="b">
        <v>0</v>
      </c>
      <c r="F9">
        <v>3</v>
      </c>
      <c r="G9" s="2">
        <v>0.12430555555555556</v>
      </c>
      <c r="H9" t="s">
        <v>950</v>
      </c>
      <c r="I9" t="s">
        <v>950</v>
      </c>
      <c r="J9" t="s">
        <v>22</v>
      </c>
      <c r="K9" t="b">
        <v>0</v>
      </c>
      <c r="L9" t="b">
        <v>0</v>
      </c>
      <c r="M9">
        <v>7.1902666666666599</v>
      </c>
      <c r="N9">
        <v>5</v>
      </c>
      <c r="O9" t="s">
        <v>951</v>
      </c>
      <c r="P9">
        <v>0.24729999999999999</v>
      </c>
      <c r="Q9">
        <v>3</v>
      </c>
      <c r="R9">
        <v>7</v>
      </c>
      <c r="S9">
        <v>2</v>
      </c>
      <c r="T9" t="str">
        <f>_xlfn.XLOOKUP(Table1[[#This Row],[csat_score]],Sheet2!A:A,Sheet2!D:D)</f>
        <v>Media</v>
      </c>
      <c r="U9" t="str">
        <f>_xlfn.XLOOKUP(Table1[[#This Row],[nps_score]],Sheet2!B:B,Sheet2!E:E)</f>
        <v>passive</v>
      </c>
      <c r="V9" t="str">
        <f>_xlfn.XLOOKUP(Table1[[#This Row],[resolution_numeric]],Sheet2!C:C,Sheet2!F:F)</f>
        <v>partial</v>
      </c>
      <c r="W9">
        <f>1</f>
        <v>1</v>
      </c>
      <c r="X9">
        <f>IF(ISBLANK(Table1[[#This Row],[nps_category]]),0,1)</f>
        <v>1</v>
      </c>
    </row>
    <row r="10" spans="1:24" hidden="1" x14ac:dyDescent="0.25">
      <c r="A10" t="s">
        <v>946</v>
      </c>
      <c r="B10" t="s">
        <v>947</v>
      </c>
      <c r="C10" s="1">
        <v>46131</v>
      </c>
      <c r="D10" t="s">
        <v>22</v>
      </c>
      <c r="E10" t="b">
        <v>0</v>
      </c>
      <c r="F10">
        <v>4</v>
      </c>
      <c r="G10" s="2">
        <v>0.12638888888888888</v>
      </c>
      <c r="H10" t="s">
        <v>952</v>
      </c>
      <c r="I10" t="s">
        <v>952</v>
      </c>
      <c r="J10" t="s">
        <v>22</v>
      </c>
      <c r="K10" t="b">
        <v>0</v>
      </c>
      <c r="L10" t="b">
        <v>0</v>
      </c>
      <c r="M10">
        <v>1.1779500000000001</v>
      </c>
      <c r="N10">
        <v>5</v>
      </c>
      <c r="O10" t="s">
        <v>953</v>
      </c>
      <c r="P10">
        <v>0.36130000000000001</v>
      </c>
      <c r="Q10">
        <v>3</v>
      </c>
      <c r="R10">
        <v>7</v>
      </c>
      <c r="S10">
        <v>2</v>
      </c>
      <c r="T10" t="str">
        <f>_xlfn.XLOOKUP(Table1[[#This Row],[csat_score]],Sheet2!A:A,Sheet2!D:D)</f>
        <v>Media</v>
      </c>
      <c r="U10" t="str">
        <f>_xlfn.XLOOKUP(Table1[[#This Row],[nps_score]],Sheet2!B:B,Sheet2!E:E)</f>
        <v>passive</v>
      </c>
      <c r="V10" t="str">
        <f>_xlfn.XLOOKUP(Table1[[#This Row],[resolution_numeric]],Sheet2!C:C,Sheet2!F:F)</f>
        <v>partial</v>
      </c>
      <c r="W10">
        <f>1</f>
        <v>1</v>
      </c>
      <c r="X10">
        <f>IF(ISBLANK(Table1[[#This Row],[nps_category]]),0,1)</f>
        <v>1</v>
      </c>
    </row>
    <row r="11" spans="1:24" hidden="1" x14ac:dyDescent="0.25">
      <c r="A11" t="s">
        <v>145</v>
      </c>
      <c r="B11" t="s">
        <v>146</v>
      </c>
      <c r="C11" s="1">
        <v>46134</v>
      </c>
      <c r="D11" t="s">
        <v>45</v>
      </c>
      <c r="E11" t="b">
        <v>1</v>
      </c>
      <c r="F11">
        <v>1</v>
      </c>
      <c r="G11" s="2">
        <v>0.9291666666666667</v>
      </c>
      <c r="H11" t="s">
        <v>147</v>
      </c>
      <c r="I11" t="s">
        <v>147</v>
      </c>
      <c r="J11" t="s">
        <v>45</v>
      </c>
      <c r="K11" t="b">
        <v>1</v>
      </c>
      <c r="L11" t="b">
        <v>0</v>
      </c>
      <c r="M11">
        <v>18.966116666666601</v>
      </c>
      <c r="N11">
        <v>5</v>
      </c>
      <c r="O11" t="s">
        <v>148</v>
      </c>
      <c r="P11">
        <v>0.36580000000000001</v>
      </c>
      <c r="Q11">
        <v>3</v>
      </c>
      <c r="R11">
        <v>7</v>
      </c>
      <c r="S11">
        <v>2</v>
      </c>
      <c r="T11" t="str">
        <f>_xlfn.XLOOKUP(Table1[[#This Row],[csat_score]],Sheet2!A:A,Sheet2!D:D)</f>
        <v>Media</v>
      </c>
      <c r="U11" t="str">
        <f>_xlfn.XLOOKUP(Table1[[#This Row],[nps_score]],Sheet2!B:B,Sheet2!E:E)</f>
        <v>passive</v>
      </c>
      <c r="V11" t="str">
        <f>_xlfn.XLOOKUP(Table1[[#This Row],[resolution_numeric]],Sheet2!C:C,Sheet2!F:F)</f>
        <v>partial</v>
      </c>
      <c r="W11">
        <f>1</f>
        <v>1</v>
      </c>
      <c r="X11">
        <f>IF(ISBLANK(Table1[[#This Row],[nps_category]]),0,1)</f>
        <v>1</v>
      </c>
    </row>
    <row r="12" spans="1:24" hidden="1" x14ac:dyDescent="0.25">
      <c r="A12" t="s">
        <v>145</v>
      </c>
      <c r="B12" t="s">
        <v>146</v>
      </c>
      <c r="C12" s="1">
        <v>46134</v>
      </c>
      <c r="D12" t="s">
        <v>45</v>
      </c>
      <c r="E12" t="b">
        <v>1</v>
      </c>
      <c r="F12">
        <v>2</v>
      </c>
      <c r="G12" s="2">
        <v>0.94236111111111109</v>
      </c>
      <c r="H12" t="s">
        <v>151</v>
      </c>
      <c r="I12" t="s">
        <v>151</v>
      </c>
      <c r="J12" t="s">
        <v>45</v>
      </c>
      <c r="K12" t="b">
        <v>1</v>
      </c>
      <c r="L12" t="b">
        <v>0</v>
      </c>
      <c r="M12">
        <v>6.9330000000000007</v>
      </c>
      <c r="N12">
        <v>5</v>
      </c>
      <c r="O12" t="s">
        <v>152</v>
      </c>
      <c r="P12">
        <v>0.1832</v>
      </c>
      <c r="Q12">
        <v>3</v>
      </c>
      <c r="R12">
        <v>7</v>
      </c>
      <c r="S12">
        <v>2</v>
      </c>
      <c r="T12" t="str">
        <f>_xlfn.XLOOKUP(Table1[[#This Row],[csat_score]],Sheet2!A:A,Sheet2!D:D)</f>
        <v>Media</v>
      </c>
      <c r="U12" t="str">
        <f>_xlfn.XLOOKUP(Table1[[#This Row],[nps_score]],Sheet2!B:B,Sheet2!E:E)</f>
        <v>passive</v>
      </c>
      <c r="V12" t="str">
        <f>_xlfn.XLOOKUP(Table1[[#This Row],[resolution_numeric]],Sheet2!C:C,Sheet2!F:F)</f>
        <v>partial</v>
      </c>
      <c r="W12">
        <f>1</f>
        <v>1</v>
      </c>
      <c r="X12">
        <f>IF(ISBLANK(Table1[[#This Row],[nps_category]]),0,1)</f>
        <v>1</v>
      </c>
    </row>
    <row r="13" spans="1:24" hidden="1" x14ac:dyDescent="0.25">
      <c r="A13" t="s">
        <v>501</v>
      </c>
      <c r="B13" t="s">
        <v>502</v>
      </c>
      <c r="C13" s="1">
        <v>46134</v>
      </c>
      <c r="D13" t="s">
        <v>22</v>
      </c>
      <c r="E13" t="b">
        <v>0</v>
      </c>
      <c r="F13">
        <v>2</v>
      </c>
      <c r="G13" s="2">
        <v>0.70416666666666672</v>
      </c>
      <c r="H13" t="s">
        <v>504</v>
      </c>
      <c r="I13" t="s">
        <v>504</v>
      </c>
      <c r="J13" t="s">
        <v>22</v>
      </c>
      <c r="K13" t="b">
        <v>0</v>
      </c>
      <c r="L13" t="b">
        <v>0</v>
      </c>
      <c r="M13">
        <v>10.170366666666601</v>
      </c>
      <c r="N13">
        <v>5</v>
      </c>
      <c r="O13" t="s">
        <v>505</v>
      </c>
      <c r="P13">
        <v>0.1605</v>
      </c>
      <c r="Q13">
        <v>5</v>
      </c>
      <c r="R13">
        <v>7</v>
      </c>
      <c r="S13">
        <v>2</v>
      </c>
      <c r="T13" t="str">
        <f>_xlfn.XLOOKUP(Table1[[#This Row],[csat_score]],Sheet2!A:A,Sheet2!D:D)</f>
        <v>Alta</v>
      </c>
      <c r="U13" t="str">
        <f>_xlfn.XLOOKUP(Table1[[#This Row],[nps_score]],Sheet2!B:B,Sheet2!E:E)</f>
        <v>passive</v>
      </c>
      <c r="V13" t="str">
        <f>_xlfn.XLOOKUP(Table1[[#This Row],[resolution_numeric]],Sheet2!C:C,Sheet2!F:F)</f>
        <v>partial</v>
      </c>
      <c r="W13">
        <f>1</f>
        <v>1</v>
      </c>
      <c r="X13">
        <f>IF(ISBLANK(Table1[[#This Row],[nps_category]]),0,1)</f>
        <v>1</v>
      </c>
    </row>
    <row r="14" spans="1:24" hidden="1" x14ac:dyDescent="0.25">
      <c r="A14" t="s">
        <v>922</v>
      </c>
      <c r="B14" t="s">
        <v>923</v>
      </c>
      <c r="C14" s="1">
        <v>46138</v>
      </c>
      <c r="D14" t="s">
        <v>45</v>
      </c>
      <c r="E14" t="b">
        <v>1</v>
      </c>
      <c r="F14">
        <v>1</v>
      </c>
      <c r="G14" s="2">
        <v>4.8611111111111112E-3</v>
      </c>
      <c r="H14" t="s">
        <v>924</v>
      </c>
      <c r="I14" t="s">
        <v>924</v>
      </c>
      <c r="J14" t="s">
        <v>45</v>
      </c>
      <c r="K14" t="b">
        <v>1</v>
      </c>
      <c r="L14" t="b">
        <v>0</v>
      </c>
      <c r="M14">
        <v>4.75846666666666</v>
      </c>
      <c r="N14">
        <v>5</v>
      </c>
      <c r="O14" t="s">
        <v>925</v>
      </c>
      <c r="P14">
        <v>0.19819999999999999</v>
      </c>
      <c r="Q14">
        <v>2</v>
      </c>
      <c r="R14">
        <v>7</v>
      </c>
      <c r="S14">
        <v>1</v>
      </c>
      <c r="T14" t="str">
        <f>_xlfn.XLOOKUP(Table1[[#This Row],[csat_score]],Sheet2!A:A,Sheet2!D:D)</f>
        <v>Baja</v>
      </c>
      <c r="U14" t="str">
        <f>_xlfn.XLOOKUP(Table1[[#This Row],[nps_score]],Sheet2!B:B,Sheet2!E:E)</f>
        <v>passive</v>
      </c>
      <c r="V14" t="str">
        <f>_xlfn.XLOOKUP(Table1[[#This Row],[resolution_numeric]],Sheet2!C:C,Sheet2!F:F)</f>
        <v>no</v>
      </c>
      <c r="W14">
        <f>1</f>
        <v>1</v>
      </c>
      <c r="X14">
        <f>IF(ISBLANK(Table1[[#This Row],[nps_category]]),0,1)</f>
        <v>1</v>
      </c>
    </row>
    <row r="15" spans="1:24" hidden="1" x14ac:dyDescent="0.25">
      <c r="A15" t="s">
        <v>922</v>
      </c>
      <c r="B15" t="s">
        <v>923</v>
      </c>
      <c r="C15" s="1">
        <v>46138</v>
      </c>
      <c r="D15" t="s">
        <v>45</v>
      </c>
      <c r="E15" t="b">
        <v>1</v>
      </c>
      <c r="F15">
        <v>2</v>
      </c>
      <c r="G15" s="2">
        <v>1.2500000000000001E-2</v>
      </c>
      <c r="H15" t="s">
        <v>926</v>
      </c>
      <c r="I15" t="s">
        <v>926</v>
      </c>
      <c r="J15" t="s">
        <v>45</v>
      </c>
      <c r="K15" t="b">
        <v>1</v>
      </c>
      <c r="L15" t="b">
        <v>1</v>
      </c>
      <c r="M15">
        <v>5.1788833333333306</v>
      </c>
      <c r="N15">
        <v>1</v>
      </c>
      <c r="O15" t="s">
        <v>927</v>
      </c>
      <c r="P15">
        <v>0.1966</v>
      </c>
      <c r="Q15">
        <v>2</v>
      </c>
      <c r="R15">
        <v>7</v>
      </c>
      <c r="S15">
        <v>1</v>
      </c>
      <c r="T15" t="str">
        <f>_xlfn.XLOOKUP(Table1[[#This Row],[csat_score]],Sheet2!A:A,Sheet2!D:D)</f>
        <v>Baja</v>
      </c>
      <c r="U15" t="str">
        <f>_xlfn.XLOOKUP(Table1[[#This Row],[nps_score]],Sheet2!B:B,Sheet2!E:E)</f>
        <v>passive</v>
      </c>
      <c r="V15" t="str">
        <f>_xlfn.XLOOKUP(Table1[[#This Row],[resolution_numeric]],Sheet2!C:C,Sheet2!F:F)</f>
        <v>no</v>
      </c>
      <c r="W15">
        <f>1</f>
        <v>1</v>
      </c>
      <c r="X15">
        <f>IF(ISBLANK(Table1[[#This Row],[nps_category]]),0,1)</f>
        <v>1</v>
      </c>
    </row>
    <row r="16" spans="1:24" hidden="1" x14ac:dyDescent="0.25">
      <c r="A16" t="s">
        <v>922</v>
      </c>
      <c r="B16" t="s">
        <v>923</v>
      </c>
      <c r="C16" s="1">
        <v>46138</v>
      </c>
      <c r="D16" t="s">
        <v>45</v>
      </c>
      <c r="E16" t="b">
        <v>1</v>
      </c>
      <c r="F16">
        <v>3</v>
      </c>
      <c r="G16" s="2">
        <v>2.5000000000000001E-2</v>
      </c>
      <c r="H16" t="s">
        <v>928</v>
      </c>
      <c r="I16" t="s">
        <v>928</v>
      </c>
      <c r="J16" t="s">
        <v>45</v>
      </c>
      <c r="K16" t="b">
        <v>1</v>
      </c>
      <c r="L16" t="b">
        <v>1</v>
      </c>
      <c r="M16">
        <v>8.3526333333333298</v>
      </c>
      <c r="N16">
        <v>1</v>
      </c>
      <c r="O16" t="s">
        <v>929</v>
      </c>
      <c r="P16">
        <v>0.19400000000000001</v>
      </c>
      <c r="Q16">
        <v>2</v>
      </c>
      <c r="R16">
        <v>7</v>
      </c>
      <c r="S16">
        <v>1</v>
      </c>
      <c r="T16" t="str">
        <f>_xlfn.XLOOKUP(Table1[[#This Row],[csat_score]],Sheet2!A:A,Sheet2!D:D)</f>
        <v>Baja</v>
      </c>
      <c r="U16" t="str">
        <f>_xlfn.XLOOKUP(Table1[[#This Row],[nps_score]],Sheet2!B:B,Sheet2!E:E)</f>
        <v>passive</v>
      </c>
      <c r="V16" t="str">
        <f>_xlfn.XLOOKUP(Table1[[#This Row],[resolution_numeric]],Sheet2!C:C,Sheet2!F:F)</f>
        <v>no</v>
      </c>
      <c r="W16">
        <f>1</f>
        <v>1</v>
      </c>
      <c r="X16">
        <f>IF(ISBLANK(Table1[[#This Row],[nps_category]]),0,1)</f>
        <v>1</v>
      </c>
    </row>
    <row r="17" spans="1:24" hidden="1" x14ac:dyDescent="0.25">
      <c r="A17" t="s">
        <v>501</v>
      </c>
      <c r="B17" t="s">
        <v>502</v>
      </c>
      <c r="C17" s="1">
        <v>46134</v>
      </c>
      <c r="D17" t="s">
        <v>22</v>
      </c>
      <c r="E17" t="b">
        <v>0</v>
      </c>
      <c r="F17">
        <v>1</v>
      </c>
      <c r="G17" s="2">
        <v>0.69374999999999998</v>
      </c>
      <c r="H17" t="s">
        <v>363</v>
      </c>
      <c r="I17" t="s">
        <v>363</v>
      </c>
      <c r="J17" t="s">
        <v>22</v>
      </c>
      <c r="K17" t="b">
        <v>0</v>
      </c>
      <c r="L17" t="b">
        <v>0</v>
      </c>
      <c r="M17">
        <v>13.822466666666601</v>
      </c>
      <c r="N17">
        <v>5</v>
      </c>
      <c r="O17" t="s">
        <v>503</v>
      </c>
      <c r="P17">
        <v>8.4099999999999994E-2</v>
      </c>
      <c r="Q17">
        <v>5</v>
      </c>
      <c r="R17">
        <v>7</v>
      </c>
      <c r="S17">
        <v>2</v>
      </c>
      <c r="T17" t="str">
        <f>_xlfn.XLOOKUP(Table1[[#This Row],[csat_score]],Sheet2!A:A,Sheet2!D:D)</f>
        <v>Alta</v>
      </c>
      <c r="U17" t="str">
        <f>_xlfn.XLOOKUP(Table1[[#This Row],[nps_score]],Sheet2!B:B,Sheet2!E:E)</f>
        <v>passive</v>
      </c>
      <c r="V17" t="str">
        <f>_xlfn.XLOOKUP(Table1[[#This Row],[resolution_numeric]],Sheet2!C:C,Sheet2!F:F)</f>
        <v>partial</v>
      </c>
      <c r="W17">
        <f>1</f>
        <v>1</v>
      </c>
      <c r="X17">
        <f>IF(ISBLANK(Table1[[#This Row],[nps_category]]),0,1)</f>
        <v>1</v>
      </c>
    </row>
    <row r="18" spans="1:24" hidden="1" x14ac:dyDescent="0.25">
      <c r="A18" t="s">
        <v>1116</v>
      </c>
      <c r="B18" t="s">
        <v>38</v>
      </c>
      <c r="C18" s="1">
        <v>46139</v>
      </c>
      <c r="D18" t="s">
        <v>45</v>
      </c>
      <c r="E18" t="b">
        <v>1</v>
      </c>
      <c r="F18">
        <v>1</v>
      </c>
      <c r="G18" s="2">
        <v>0.77916666666666667</v>
      </c>
      <c r="H18" t="s">
        <v>1117</v>
      </c>
      <c r="I18" t="s">
        <v>1117</v>
      </c>
      <c r="J18" t="s">
        <v>45</v>
      </c>
      <c r="K18" t="b">
        <v>1</v>
      </c>
      <c r="L18" t="b">
        <v>0</v>
      </c>
      <c r="M18">
        <v>5.4590000000000005</v>
      </c>
      <c r="N18">
        <v>5</v>
      </c>
      <c r="O18" t="s">
        <v>1118</v>
      </c>
      <c r="P18">
        <v>0.24829999999999999</v>
      </c>
      <c r="Q18">
        <v>5</v>
      </c>
      <c r="R18">
        <v>7</v>
      </c>
      <c r="S18">
        <v>1</v>
      </c>
      <c r="T18" t="str">
        <f>_xlfn.XLOOKUP(Table1[[#This Row],[csat_score]],Sheet2!A:A,Sheet2!D:D)</f>
        <v>Alta</v>
      </c>
      <c r="U18" t="str">
        <f>_xlfn.XLOOKUP(Table1[[#This Row],[nps_score]],Sheet2!B:B,Sheet2!E:E)</f>
        <v>passive</v>
      </c>
      <c r="V18" t="str">
        <f>_xlfn.XLOOKUP(Table1[[#This Row],[resolution_numeric]],Sheet2!C:C,Sheet2!F:F)</f>
        <v>no</v>
      </c>
      <c r="W18">
        <f>1</f>
        <v>1</v>
      </c>
      <c r="X18">
        <f>IF(ISBLANK(Table1[[#This Row],[nps_category]]),0,1)</f>
        <v>1</v>
      </c>
    </row>
    <row r="19" spans="1:24" hidden="1" x14ac:dyDescent="0.25">
      <c r="A19" t="s">
        <v>71</v>
      </c>
      <c r="B19" t="s">
        <v>72</v>
      </c>
      <c r="C19" s="1">
        <v>46131</v>
      </c>
      <c r="D19" t="s">
        <v>45</v>
      </c>
      <c r="E19" t="b">
        <v>1</v>
      </c>
      <c r="F19">
        <v>1</v>
      </c>
      <c r="G19" s="2">
        <v>0.13541666666666666</v>
      </c>
      <c r="H19" t="s">
        <v>73</v>
      </c>
      <c r="I19" t="s">
        <v>73</v>
      </c>
      <c r="J19" t="s">
        <v>45</v>
      </c>
      <c r="K19" t="b">
        <v>1</v>
      </c>
      <c r="L19" t="b">
        <v>0</v>
      </c>
      <c r="M19">
        <v>1.9229999999999998</v>
      </c>
      <c r="N19">
        <v>5</v>
      </c>
      <c r="O19" t="s">
        <v>74</v>
      </c>
      <c r="P19">
        <v>0.17829999999999999</v>
      </c>
      <c r="Q19">
        <v>5</v>
      </c>
      <c r="R19">
        <v>10</v>
      </c>
      <c r="S19">
        <v>3</v>
      </c>
      <c r="T19" t="str">
        <f>_xlfn.XLOOKUP(Table1[[#This Row],[csat_score]],Sheet2!A:A,Sheet2!D:D)</f>
        <v>Alta</v>
      </c>
      <c r="U19" t="str">
        <f>_xlfn.XLOOKUP(Table1[[#This Row],[nps_score]],Sheet2!B:B,Sheet2!E:E)</f>
        <v>promoter</v>
      </c>
      <c r="V19" t="str">
        <f>_xlfn.XLOOKUP(Table1[[#This Row],[resolution_numeric]],Sheet2!C:C,Sheet2!F:F)</f>
        <v>yes</v>
      </c>
      <c r="W19">
        <f>1</f>
        <v>1</v>
      </c>
      <c r="X19">
        <f>IF(ISBLANK(Table1[[#This Row],[nps_category]]),0,1)</f>
        <v>1</v>
      </c>
    </row>
    <row r="20" spans="1:24" hidden="1" x14ac:dyDescent="0.25">
      <c r="A20" t="s">
        <v>71</v>
      </c>
      <c r="B20" t="s">
        <v>72</v>
      </c>
      <c r="C20" s="1">
        <v>46131</v>
      </c>
      <c r="D20" t="s">
        <v>45</v>
      </c>
      <c r="E20" t="b">
        <v>1</v>
      </c>
      <c r="F20">
        <v>2</v>
      </c>
      <c r="G20" s="2">
        <v>0.13819444444444445</v>
      </c>
      <c r="H20" t="s">
        <v>75</v>
      </c>
      <c r="I20" t="s">
        <v>75</v>
      </c>
      <c r="J20" t="s">
        <v>45</v>
      </c>
      <c r="K20" t="b">
        <v>1</v>
      </c>
      <c r="L20" t="b">
        <v>0</v>
      </c>
      <c r="M20">
        <v>2.5193333333333299</v>
      </c>
      <c r="N20">
        <v>5</v>
      </c>
      <c r="O20" t="s">
        <v>76</v>
      </c>
      <c r="P20">
        <v>0.55589999999999995</v>
      </c>
      <c r="Q20">
        <v>5</v>
      </c>
      <c r="R20">
        <v>10</v>
      </c>
      <c r="S20">
        <v>3</v>
      </c>
      <c r="T20" t="str">
        <f>_xlfn.XLOOKUP(Table1[[#This Row],[csat_score]],Sheet2!A:A,Sheet2!D:D)</f>
        <v>Alta</v>
      </c>
      <c r="U20" t="str">
        <f>_xlfn.XLOOKUP(Table1[[#This Row],[nps_score]],Sheet2!B:B,Sheet2!E:E)</f>
        <v>promoter</v>
      </c>
      <c r="V20" t="str">
        <f>_xlfn.XLOOKUP(Table1[[#This Row],[resolution_numeric]],Sheet2!C:C,Sheet2!F:F)</f>
        <v>yes</v>
      </c>
      <c r="W20">
        <f>1</f>
        <v>1</v>
      </c>
      <c r="X20">
        <f>IF(ISBLANK(Table1[[#This Row],[nps_category]]),0,1)</f>
        <v>1</v>
      </c>
    </row>
    <row r="21" spans="1:24" hidden="1" x14ac:dyDescent="0.25">
      <c r="A21" t="s">
        <v>1073</v>
      </c>
      <c r="B21" t="s">
        <v>1074</v>
      </c>
      <c r="C21" s="1">
        <v>46131</v>
      </c>
      <c r="D21" t="s">
        <v>45</v>
      </c>
      <c r="E21" t="b">
        <v>1</v>
      </c>
      <c r="F21">
        <v>1</v>
      </c>
      <c r="G21" s="2">
        <v>0.22013888888888888</v>
      </c>
      <c r="H21" t="s">
        <v>1075</v>
      </c>
      <c r="I21" t="s">
        <v>1075</v>
      </c>
      <c r="J21" t="s">
        <v>45</v>
      </c>
      <c r="K21" t="b">
        <v>1</v>
      </c>
      <c r="L21" t="b">
        <v>0</v>
      </c>
      <c r="M21">
        <v>1.6093166666666601</v>
      </c>
      <c r="N21">
        <v>5</v>
      </c>
      <c r="O21" t="s">
        <v>1076</v>
      </c>
      <c r="P21">
        <v>0.20849999999999999</v>
      </c>
      <c r="Q21">
        <v>5</v>
      </c>
      <c r="R21">
        <v>10</v>
      </c>
      <c r="S21">
        <v>3</v>
      </c>
      <c r="T21" t="str">
        <f>_xlfn.XLOOKUP(Table1[[#This Row],[csat_score]],Sheet2!A:A,Sheet2!D:D)</f>
        <v>Alta</v>
      </c>
      <c r="U21" t="str">
        <f>_xlfn.XLOOKUP(Table1[[#This Row],[nps_score]],Sheet2!B:B,Sheet2!E:E)</f>
        <v>promoter</v>
      </c>
      <c r="V21" t="str">
        <f>_xlfn.XLOOKUP(Table1[[#This Row],[resolution_numeric]],Sheet2!C:C,Sheet2!F:F)</f>
        <v>yes</v>
      </c>
      <c r="W21">
        <f>1</f>
        <v>1</v>
      </c>
      <c r="X21">
        <f>IF(ISBLANK(Table1[[#This Row],[nps_category]]),0,1)</f>
        <v>1</v>
      </c>
    </row>
    <row r="22" spans="1:24" hidden="1" x14ac:dyDescent="0.25">
      <c r="A22" t="s">
        <v>978</v>
      </c>
      <c r="B22" t="s">
        <v>38</v>
      </c>
      <c r="C22" s="1">
        <v>46132</v>
      </c>
      <c r="D22" t="s">
        <v>22</v>
      </c>
      <c r="E22" t="b">
        <v>0</v>
      </c>
      <c r="F22">
        <v>1</v>
      </c>
      <c r="G22" s="2">
        <v>1.8749999999999999E-2</v>
      </c>
      <c r="H22" t="s">
        <v>979</v>
      </c>
      <c r="I22" t="s">
        <v>979</v>
      </c>
      <c r="J22" t="s">
        <v>22</v>
      </c>
      <c r="K22" t="b">
        <v>0</v>
      </c>
      <c r="L22" t="b">
        <v>0</v>
      </c>
      <c r="M22">
        <v>3.3271166666666603</v>
      </c>
      <c r="N22">
        <v>5</v>
      </c>
      <c r="O22" t="s">
        <v>980</v>
      </c>
      <c r="P22">
        <v>0.37490000000000001</v>
      </c>
      <c r="Q22">
        <v>5</v>
      </c>
      <c r="R22">
        <v>10</v>
      </c>
      <c r="S22">
        <v>3</v>
      </c>
      <c r="T22" t="str">
        <f>_xlfn.XLOOKUP(Table1[[#This Row],[csat_score]],Sheet2!A:A,Sheet2!D:D)</f>
        <v>Alta</v>
      </c>
      <c r="U22" t="str">
        <f>_xlfn.XLOOKUP(Table1[[#This Row],[nps_score]],Sheet2!B:B,Sheet2!E:E)</f>
        <v>promoter</v>
      </c>
      <c r="V22" t="str">
        <f>_xlfn.XLOOKUP(Table1[[#This Row],[resolution_numeric]],Sheet2!C:C,Sheet2!F:F)</f>
        <v>yes</v>
      </c>
      <c r="W22">
        <f>1</f>
        <v>1</v>
      </c>
      <c r="X22">
        <f>IF(ISBLANK(Table1[[#This Row],[nps_category]]),0,1)</f>
        <v>1</v>
      </c>
    </row>
    <row r="23" spans="1:24" hidden="1" x14ac:dyDescent="0.25">
      <c r="A23" t="s">
        <v>978</v>
      </c>
      <c r="B23" t="s">
        <v>38</v>
      </c>
      <c r="C23" s="1">
        <v>46132</v>
      </c>
      <c r="D23" t="s">
        <v>22</v>
      </c>
      <c r="E23" t="b">
        <v>0</v>
      </c>
      <c r="F23">
        <v>2</v>
      </c>
      <c r="G23" s="2">
        <v>2.013888888888889E-2</v>
      </c>
      <c r="H23" t="s">
        <v>981</v>
      </c>
      <c r="I23" t="s">
        <v>981</v>
      </c>
      <c r="J23" t="s">
        <v>22</v>
      </c>
      <c r="K23" t="b">
        <v>0</v>
      </c>
      <c r="L23" t="b">
        <v>0</v>
      </c>
      <c r="M23">
        <v>1.4679833333333301</v>
      </c>
      <c r="N23">
        <v>5</v>
      </c>
      <c r="O23" t="s">
        <v>982</v>
      </c>
      <c r="P23">
        <v>0.36609999999999998</v>
      </c>
      <c r="Q23">
        <v>5</v>
      </c>
      <c r="R23">
        <v>10</v>
      </c>
      <c r="S23">
        <v>3</v>
      </c>
      <c r="T23" t="str">
        <f>_xlfn.XLOOKUP(Table1[[#This Row],[csat_score]],Sheet2!A:A,Sheet2!D:D)</f>
        <v>Alta</v>
      </c>
      <c r="U23" t="str">
        <f>_xlfn.XLOOKUP(Table1[[#This Row],[nps_score]],Sheet2!B:B,Sheet2!E:E)</f>
        <v>promoter</v>
      </c>
      <c r="V23" t="str">
        <f>_xlfn.XLOOKUP(Table1[[#This Row],[resolution_numeric]],Sheet2!C:C,Sheet2!F:F)</f>
        <v>yes</v>
      </c>
      <c r="W23">
        <f>1</f>
        <v>1</v>
      </c>
      <c r="X23">
        <f>IF(ISBLANK(Table1[[#This Row],[nps_category]]),0,1)</f>
        <v>1</v>
      </c>
    </row>
    <row r="24" spans="1:24" hidden="1" x14ac:dyDescent="0.25">
      <c r="A24" t="s">
        <v>978</v>
      </c>
      <c r="B24" t="s">
        <v>38</v>
      </c>
      <c r="C24" s="1">
        <v>46132</v>
      </c>
      <c r="D24" t="s">
        <v>22</v>
      </c>
      <c r="E24" t="b">
        <v>0</v>
      </c>
      <c r="F24">
        <v>3</v>
      </c>
      <c r="G24" s="2">
        <v>2.361111111111111E-2</v>
      </c>
      <c r="H24" t="s">
        <v>983</v>
      </c>
      <c r="I24" t="s">
        <v>983</v>
      </c>
      <c r="J24" t="s">
        <v>22</v>
      </c>
      <c r="K24" t="b">
        <v>0</v>
      </c>
      <c r="L24" t="b">
        <v>0</v>
      </c>
      <c r="M24">
        <v>2.9720666666666604</v>
      </c>
      <c r="N24">
        <v>5</v>
      </c>
      <c r="O24" t="s">
        <v>591</v>
      </c>
      <c r="P24">
        <v>0.19980000000000001</v>
      </c>
      <c r="Q24">
        <v>5</v>
      </c>
      <c r="R24">
        <v>10</v>
      </c>
      <c r="S24">
        <v>3</v>
      </c>
      <c r="T24" t="str">
        <f>_xlfn.XLOOKUP(Table1[[#This Row],[csat_score]],Sheet2!A:A,Sheet2!D:D)</f>
        <v>Alta</v>
      </c>
      <c r="U24" t="str">
        <f>_xlfn.XLOOKUP(Table1[[#This Row],[nps_score]],Sheet2!B:B,Sheet2!E:E)</f>
        <v>promoter</v>
      </c>
      <c r="V24" t="str">
        <f>_xlfn.XLOOKUP(Table1[[#This Row],[resolution_numeric]],Sheet2!C:C,Sheet2!F:F)</f>
        <v>yes</v>
      </c>
      <c r="W24">
        <f>1</f>
        <v>1</v>
      </c>
      <c r="X24">
        <f>IF(ISBLANK(Table1[[#This Row],[nps_category]]),0,1)</f>
        <v>1</v>
      </c>
    </row>
    <row r="25" spans="1:24" hidden="1" x14ac:dyDescent="0.25">
      <c r="A25" t="s">
        <v>142</v>
      </c>
      <c r="B25" t="s">
        <v>38</v>
      </c>
      <c r="C25" s="1">
        <v>46134</v>
      </c>
      <c r="D25" t="s">
        <v>45</v>
      </c>
      <c r="E25" t="b">
        <v>1</v>
      </c>
      <c r="F25">
        <v>1</v>
      </c>
      <c r="G25" s="2">
        <v>3.3333333333333333E-2</v>
      </c>
      <c r="H25" t="s">
        <v>143</v>
      </c>
      <c r="I25" t="s">
        <v>143</v>
      </c>
      <c r="J25" t="s">
        <v>45</v>
      </c>
      <c r="K25" t="b">
        <v>1</v>
      </c>
      <c r="L25" t="b">
        <v>0</v>
      </c>
      <c r="M25">
        <v>17.147649999999999</v>
      </c>
      <c r="N25">
        <v>5</v>
      </c>
      <c r="O25" t="s">
        <v>144</v>
      </c>
      <c r="P25">
        <v>0.52180000000000004</v>
      </c>
      <c r="Q25">
        <v>5</v>
      </c>
      <c r="R25">
        <v>10</v>
      </c>
      <c r="S25">
        <v>3</v>
      </c>
      <c r="T25" t="str">
        <f>_xlfn.XLOOKUP(Table1[[#This Row],[csat_score]],Sheet2!A:A,Sheet2!D:D)</f>
        <v>Alta</v>
      </c>
      <c r="U25" t="str">
        <f>_xlfn.XLOOKUP(Table1[[#This Row],[nps_score]],Sheet2!B:B,Sheet2!E:E)</f>
        <v>promoter</v>
      </c>
      <c r="V25" t="str">
        <f>_xlfn.XLOOKUP(Table1[[#This Row],[resolution_numeric]],Sheet2!C:C,Sheet2!F:F)</f>
        <v>yes</v>
      </c>
      <c r="W25">
        <f>1</f>
        <v>1</v>
      </c>
      <c r="X25">
        <f>IF(ISBLANK(Table1[[#This Row],[nps_category]]),0,1)</f>
        <v>1</v>
      </c>
    </row>
    <row r="26" spans="1:24" hidden="1" x14ac:dyDescent="0.25">
      <c r="A26" t="s">
        <v>449</v>
      </c>
      <c r="B26" t="s">
        <v>38</v>
      </c>
      <c r="C26" s="1">
        <v>46134</v>
      </c>
      <c r="D26" t="s">
        <v>22</v>
      </c>
      <c r="E26" t="b">
        <v>0</v>
      </c>
      <c r="F26">
        <v>1</v>
      </c>
      <c r="G26" s="2">
        <v>0.66666666666666663</v>
      </c>
      <c r="H26" t="s">
        <v>450</v>
      </c>
      <c r="I26" t="s">
        <v>450</v>
      </c>
      <c r="J26" t="s">
        <v>22</v>
      </c>
      <c r="K26" t="b">
        <v>0</v>
      </c>
      <c r="L26" t="b">
        <v>0</v>
      </c>
      <c r="M26">
        <v>10.826133333333301</v>
      </c>
      <c r="N26">
        <v>5</v>
      </c>
      <c r="O26" t="s">
        <v>200</v>
      </c>
      <c r="P26">
        <v>0.2545</v>
      </c>
      <c r="Q26">
        <v>5</v>
      </c>
      <c r="R26">
        <v>10</v>
      </c>
      <c r="S26">
        <v>3</v>
      </c>
      <c r="T26" t="str">
        <f>_xlfn.XLOOKUP(Table1[[#This Row],[csat_score]],Sheet2!A:A,Sheet2!D:D)</f>
        <v>Alta</v>
      </c>
      <c r="U26" t="str">
        <f>_xlfn.XLOOKUP(Table1[[#This Row],[nps_score]],Sheet2!B:B,Sheet2!E:E)</f>
        <v>promoter</v>
      </c>
      <c r="V26" t="str">
        <f>_xlfn.XLOOKUP(Table1[[#This Row],[resolution_numeric]],Sheet2!C:C,Sheet2!F:F)</f>
        <v>yes</v>
      </c>
      <c r="W26">
        <f>1</f>
        <v>1</v>
      </c>
      <c r="X26">
        <f>IF(ISBLANK(Table1[[#This Row],[nps_category]]),0,1)</f>
        <v>1</v>
      </c>
    </row>
    <row r="27" spans="1:24" hidden="1" x14ac:dyDescent="0.25">
      <c r="A27" t="s">
        <v>628</v>
      </c>
      <c r="B27" t="s">
        <v>72</v>
      </c>
      <c r="C27" s="1">
        <v>46134</v>
      </c>
      <c r="D27" t="s">
        <v>22</v>
      </c>
      <c r="E27" t="b">
        <v>0</v>
      </c>
      <c r="F27">
        <v>1</v>
      </c>
      <c r="G27" s="2">
        <v>0.78333333333333333</v>
      </c>
      <c r="H27" t="s">
        <v>629</v>
      </c>
      <c r="I27" t="s">
        <v>629</v>
      </c>
      <c r="J27" t="s">
        <v>22</v>
      </c>
      <c r="K27" t="b">
        <v>0</v>
      </c>
      <c r="L27" t="b">
        <v>0</v>
      </c>
      <c r="M27">
        <v>10.307183333333301</v>
      </c>
      <c r="N27">
        <v>5</v>
      </c>
      <c r="O27" t="s">
        <v>630</v>
      </c>
      <c r="P27">
        <v>0.27189999999999998</v>
      </c>
      <c r="Q27">
        <v>5</v>
      </c>
      <c r="R27">
        <v>10</v>
      </c>
      <c r="S27">
        <v>3</v>
      </c>
      <c r="T27" t="str">
        <f>_xlfn.XLOOKUP(Table1[[#This Row],[csat_score]],Sheet2!A:A,Sheet2!D:D)</f>
        <v>Alta</v>
      </c>
      <c r="U27" t="str">
        <f>_xlfn.XLOOKUP(Table1[[#This Row],[nps_score]],Sheet2!B:B,Sheet2!E:E)</f>
        <v>promoter</v>
      </c>
      <c r="V27" t="str">
        <f>_xlfn.XLOOKUP(Table1[[#This Row],[resolution_numeric]],Sheet2!C:C,Sheet2!F:F)</f>
        <v>yes</v>
      </c>
      <c r="W27">
        <f>1</f>
        <v>1</v>
      </c>
      <c r="X27">
        <f>IF(ISBLANK(Table1[[#This Row],[nps_category]]),0,1)</f>
        <v>1</v>
      </c>
    </row>
    <row r="28" spans="1:24" hidden="1" x14ac:dyDescent="0.25">
      <c r="A28" t="s">
        <v>628</v>
      </c>
      <c r="B28" t="s">
        <v>72</v>
      </c>
      <c r="C28" s="1">
        <v>46134</v>
      </c>
      <c r="D28" t="s">
        <v>22</v>
      </c>
      <c r="E28" t="b">
        <v>0</v>
      </c>
      <c r="F28">
        <v>2</v>
      </c>
      <c r="G28" s="2">
        <v>0.7993055555555556</v>
      </c>
      <c r="H28" t="s">
        <v>631</v>
      </c>
      <c r="I28" t="s">
        <v>631</v>
      </c>
      <c r="J28" t="s">
        <v>22</v>
      </c>
      <c r="K28" t="b">
        <v>0</v>
      </c>
      <c r="L28" t="b">
        <v>0</v>
      </c>
      <c r="M28">
        <v>16.078133333333298</v>
      </c>
      <c r="N28">
        <v>5</v>
      </c>
      <c r="O28" t="s">
        <v>632</v>
      </c>
      <c r="P28">
        <v>0.21279999999999999</v>
      </c>
      <c r="Q28">
        <v>5</v>
      </c>
      <c r="R28">
        <v>10</v>
      </c>
      <c r="S28">
        <v>3</v>
      </c>
      <c r="T28" t="str">
        <f>_xlfn.XLOOKUP(Table1[[#This Row],[csat_score]],Sheet2!A:A,Sheet2!D:D)</f>
        <v>Alta</v>
      </c>
      <c r="U28" t="str">
        <f>_xlfn.XLOOKUP(Table1[[#This Row],[nps_score]],Sheet2!B:B,Sheet2!E:E)</f>
        <v>promoter</v>
      </c>
      <c r="V28" t="str">
        <f>_xlfn.XLOOKUP(Table1[[#This Row],[resolution_numeric]],Sheet2!C:C,Sheet2!F:F)</f>
        <v>yes</v>
      </c>
      <c r="W28">
        <f>1</f>
        <v>1</v>
      </c>
      <c r="X28">
        <f>IF(ISBLANK(Table1[[#This Row],[nps_category]]),0,1)</f>
        <v>1</v>
      </c>
    </row>
    <row r="29" spans="1:24" hidden="1" x14ac:dyDescent="0.25">
      <c r="A29" t="s">
        <v>648</v>
      </c>
      <c r="B29" t="s">
        <v>337</v>
      </c>
      <c r="C29" s="1">
        <v>46134</v>
      </c>
      <c r="D29" t="s">
        <v>22</v>
      </c>
      <c r="E29" t="b">
        <v>0</v>
      </c>
      <c r="F29">
        <v>1</v>
      </c>
      <c r="G29" s="2">
        <v>0.89027777777777772</v>
      </c>
      <c r="H29" t="s">
        <v>649</v>
      </c>
      <c r="I29" t="s">
        <v>649</v>
      </c>
      <c r="J29" t="s">
        <v>22</v>
      </c>
      <c r="K29" t="b">
        <v>0</v>
      </c>
      <c r="L29" t="b">
        <v>0</v>
      </c>
      <c r="M29">
        <v>6.8984333333333305</v>
      </c>
      <c r="N29">
        <v>5</v>
      </c>
      <c r="O29" t="s">
        <v>650</v>
      </c>
      <c r="P29">
        <v>0.28410000000000002</v>
      </c>
      <c r="Q29">
        <v>5</v>
      </c>
      <c r="R29">
        <v>10</v>
      </c>
      <c r="S29">
        <v>3</v>
      </c>
      <c r="T29" t="str">
        <f>_xlfn.XLOOKUP(Table1[[#This Row],[csat_score]],Sheet2!A:A,Sheet2!D:D)</f>
        <v>Alta</v>
      </c>
      <c r="U29" t="str">
        <f>_xlfn.XLOOKUP(Table1[[#This Row],[nps_score]],Sheet2!B:B,Sheet2!E:E)</f>
        <v>promoter</v>
      </c>
      <c r="V29" t="str">
        <f>_xlfn.XLOOKUP(Table1[[#This Row],[resolution_numeric]],Sheet2!C:C,Sheet2!F:F)</f>
        <v>yes</v>
      </c>
      <c r="W29">
        <f>1</f>
        <v>1</v>
      </c>
      <c r="X29">
        <f>IF(ISBLANK(Table1[[#This Row],[nps_category]]),0,1)</f>
        <v>1</v>
      </c>
    </row>
    <row r="30" spans="1:24" hidden="1" x14ac:dyDescent="0.25">
      <c r="A30" t="s">
        <v>664</v>
      </c>
      <c r="B30" t="s">
        <v>502</v>
      </c>
      <c r="C30" s="1">
        <v>46134</v>
      </c>
      <c r="D30" t="s">
        <v>45</v>
      </c>
      <c r="E30" t="b">
        <v>1</v>
      </c>
      <c r="F30">
        <v>1</v>
      </c>
      <c r="G30" s="2">
        <v>0.67986111111111114</v>
      </c>
      <c r="H30" t="s">
        <v>665</v>
      </c>
      <c r="I30" t="s">
        <v>665</v>
      </c>
      <c r="J30" t="s">
        <v>45</v>
      </c>
      <c r="K30" t="b">
        <v>1</v>
      </c>
      <c r="L30" t="b">
        <v>0</v>
      </c>
      <c r="M30">
        <v>12.151833333333299</v>
      </c>
      <c r="N30">
        <v>5</v>
      </c>
      <c r="O30" t="s">
        <v>666</v>
      </c>
      <c r="P30">
        <v>0.32469999999999999</v>
      </c>
      <c r="Q30">
        <v>5</v>
      </c>
      <c r="R30">
        <v>10</v>
      </c>
      <c r="S30">
        <v>3</v>
      </c>
      <c r="T30" t="str">
        <f>_xlfn.XLOOKUP(Table1[[#This Row],[csat_score]],Sheet2!A:A,Sheet2!D:D)</f>
        <v>Alta</v>
      </c>
      <c r="U30" t="str">
        <f>_xlfn.XLOOKUP(Table1[[#This Row],[nps_score]],Sheet2!B:B,Sheet2!E:E)</f>
        <v>promoter</v>
      </c>
      <c r="V30" t="str">
        <f>_xlfn.XLOOKUP(Table1[[#This Row],[resolution_numeric]],Sheet2!C:C,Sheet2!F:F)</f>
        <v>yes</v>
      </c>
      <c r="W30">
        <f>1</f>
        <v>1</v>
      </c>
      <c r="X30">
        <f>IF(ISBLANK(Table1[[#This Row],[nps_category]]),0,1)</f>
        <v>1</v>
      </c>
    </row>
    <row r="31" spans="1:24" hidden="1" x14ac:dyDescent="0.25">
      <c r="A31" t="s">
        <v>549</v>
      </c>
      <c r="B31" t="s">
        <v>281</v>
      </c>
      <c r="C31" s="1">
        <v>46135</v>
      </c>
      <c r="D31" t="s">
        <v>22</v>
      </c>
      <c r="E31" t="b">
        <v>0</v>
      </c>
      <c r="F31">
        <v>2</v>
      </c>
      <c r="G31" s="2">
        <v>0.70625000000000004</v>
      </c>
      <c r="H31" t="s">
        <v>550</v>
      </c>
      <c r="I31" t="s">
        <v>550</v>
      </c>
      <c r="J31" t="s">
        <v>22</v>
      </c>
      <c r="K31" t="b">
        <v>0</v>
      </c>
      <c r="L31" t="b">
        <v>0</v>
      </c>
      <c r="M31">
        <v>10.7992666666666</v>
      </c>
      <c r="N31">
        <v>5</v>
      </c>
      <c r="O31" t="s">
        <v>551</v>
      </c>
      <c r="P31">
        <v>0.14269999999999999</v>
      </c>
      <c r="Q31">
        <v>5</v>
      </c>
      <c r="R31">
        <v>10</v>
      </c>
      <c r="S31">
        <v>2</v>
      </c>
      <c r="T31" t="str">
        <f>_xlfn.XLOOKUP(Table1[[#This Row],[csat_score]],Sheet2!A:A,Sheet2!D:D)</f>
        <v>Alta</v>
      </c>
      <c r="U31" t="str">
        <f>_xlfn.XLOOKUP(Table1[[#This Row],[nps_score]],Sheet2!B:B,Sheet2!E:E)</f>
        <v>promoter</v>
      </c>
      <c r="V31" t="str">
        <f>_xlfn.XLOOKUP(Table1[[#This Row],[resolution_numeric]],Sheet2!C:C,Sheet2!F:F)</f>
        <v>partial</v>
      </c>
      <c r="W31">
        <f>1</f>
        <v>1</v>
      </c>
      <c r="X31">
        <f>IF(ISBLANK(Table1[[#This Row],[nps_category]]),0,1)</f>
        <v>1</v>
      </c>
    </row>
    <row r="32" spans="1:24" hidden="1" x14ac:dyDescent="0.25">
      <c r="A32" t="s">
        <v>1014</v>
      </c>
      <c r="B32" t="s">
        <v>38</v>
      </c>
      <c r="C32" s="1">
        <v>46137</v>
      </c>
      <c r="D32" t="s">
        <v>45</v>
      </c>
      <c r="E32" t="b">
        <v>1</v>
      </c>
      <c r="F32">
        <v>1</v>
      </c>
      <c r="G32" s="2">
        <v>3.888888888888889E-2</v>
      </c>
      <c r="H32" t="s">
        <v>1015</v>
      </c>
      <c r="I32" t="s">
        <v>1015</v>
      </c>
      <c r="J32" t="s">
        <v>45</v>
      </c>
      <c r="K32" t="b">
        <v>1</v>
      </c>
      <c r="L32" t="b">
        <v>0</v>
      </c>
      <c r="M32">
        <v>65.702150000000003</v>
      </c>
      <c r="N32">
        <v>5</v>
      </c>
      <c r="O32" t="s">
        <v>1016</v>
      </c>
      <c r="P32">
        <v>0.44840000000000002</v>
      </c>
      <c r="Q32">
        <v>5</v>
      </c>
      <c r="R32">
        <v>10</v>
      </c>
      <c r="S32">
        <v>3</v>
      </c>
      <c r="T32" t="str">
        <f>_xlfn.XLOOKUP(Table1[[#This Row],[csat_score]],Sheet2!A:A,Sheet2!D:D)</f>
        <v>Alta</v>
      </c>
      <c r="U32" t="str">
        <f>_xlfn.XLOOKUP(Table1[[#This Row],[nps_score]],Sheet2!B:B,Sheet2!E:E)</f>
        <v>promoter</v>
      </c>
      <c r="V32" t="str">
        <f>_xlfn.XLOOKUP(Table1[[#This Row],[resolution_numeric]],Sheet2!C:C,Sheet2!F:F)</f>
        <v>yes</v>
      </c>
      <c r="W32">
        <f>1</f>
        <v>1</v>
      </c>
      <c r="X32">
        <f>IF(ISBLANK(Table1[[#This Row],[nps_category]]),0,1)</f>
        <v>1</v>
      </c>
    </row>
    <row r="33" spans="1:24" hidden="1" x14ac:dyDescent="0.25">
      <c r="A33" t="s">
        <v>1014</v>
      </c>
      <c r="B33" t="s">
        <v>38</v>
      </c>
      <c r="C33" s="1">
        <v>46137</v>
      </c>
      <c r="D33" t="s">
        <v>45</v>
      </c>
      <c r="E33" t="b">
        <v>1</v>
      </c>
      <c r="F33">
        <v>2</v>
      </c>
      <c r="G33" s="2">
        <v>4.8611111111111112E-2</v>
      </c>
      <c r="H33" t="s">
        <v>1017</v>
      </c>
      <c r="I33" t="s">
        <v>1017</v>
      </c>
      <c r="J33" t="s">
        <v>45</v>
      </c>
      <c r="K33" t="b">
        <v>1</v>
      </c>
      <c r="L33" t="b">
        <v>0</v>
      </c>
      <c r="M33">
        <v>5.3266833333333308</v>
      </c>
      <c r="N33">
        <v>5</v>
      </c>
      <c r="O33" t="s">
        <v>1018</v>
      </c>
      <c r="P33">
        <v>0.15840000000000001</v>
      </c>
      <c r="Q33">
        <v>5</v>
      </c>
      <c r="R33">
        <v>10</v>
      </c>
      <c r="S33">
        <v>3</v>
      </c>
      <c r="T33" t="str">
        <f>_xlfn.XLOOKUP(Table1[[#This Row],[csat_score]],Sheet2!A:A,Sheet2!D:D)</f>
        <v>Alta</v>
      </c>
      <c r="U33" t="str">
        <f>_xlfn.XLOOKUP(Table1[[#This Row],[nps_score]],Sheet2!B:B,Sheet2!E:E)</f>
        <v>promoter</v>
      </c>
      <c r="V33" t="str">
        <f>_xlfn.XLOOKUP(Table1[[#This Row],[resolution_numeric]],Sheet2!C:C,Sheet2!F:F)</f>
        <v>yes</v>
      </c>
      <c r="W33">
        <f>1</f>
        <v>1</v>
      </c>
      <c r="X33">
        <f>IF(ISBLANK(Table1[[#This Row],[nps_category]]),0,1)</f>
        <v>1</v>
      </c>
    </row>
    <row r="34" spans="1:24" hidden="1" x14ac:dyDescent="0.25">
      <c r="A34" t="s">
        <v>37</v>
      </c>
      <c r="B34" t="s">
        <v>38</v>
      </c>
      <c r="C34" s="1">
        <v>46138</v>
      </c>
      <c r="D34" t="s">
        <v>22</v>
      </c>
      <c r="E34" t="b">
        <v>0</v>
      </c>
      <c r="F34">
        <v>1</v>
      </c>
      <c r="G34" s="2">
        <v>0.97569444444444442</v>
      </c>
      <c r="H34" t="s">
        <v>39</v>
      </c>
      <c r="I34" t="s">
        <v>39</v>
      </c>
      <c r="J34" t="s">
        <v>22</v>
      </c>
      <c r="K34" t="b">
        <v>0</v>
      </c>
      <c r="L34" t="b">
        <v>0</v>
      </c>
      <c r="M34">
        <v>17.205983333333297</v>
      </c>
      <c r="N34">
        <v>5</v>
      </c>
      <c r="O34" t="s">
        <v>40</v>
      </c>
      <c r="P34">
        <v>0.35460000000000003</v>
      </c>
      <c r="Q34">
        <v>5</v>
      </c>
      <c r="R34">
        <v>10</v>
      </c>
      <c r="S34">
        <v>3</v>
      </c>
      <c r="T34" t="str">
        <f>_xlfn.XLOOKUP(Table1[[#This Row],[csat_score]],Sheet2!A:A,Sheet2!D:D)</f>
        <v>Alta</v>
      </c>
      <c r="U34" t="str">
        <f>_xlfn.XLOOKUP(Table1[[#This Row],[nps_score]],Sheet2!B:B,Sheet2!E:E)</f>
        <v>promoter</v>
      </c>
      <c r="V34" t="str">
        <f>_xlfn.XLOOKUP(Table1[[#This Row],[resolution_numeric]],Sheet2!C:C,Sheet2!F:F)</f>
        <v>yes</v>
      </c>
      <c r="W34">
        <f>1</f>
        <v>1</v>
      </c>
      <c r="X34">
        <f>IF(ISBLANK(Table1[[#This Row],[nps_category]]),0,1)</f>
        <v>1</v>
      </c>
    </row>
    <row r="35" spans="1:24" hidden="1" x14ac:dyDescent="0.25">
      <c r="A35" t="s">
        <v>227</v>
      </c>
      <c r="B35" t="s">
        <v>72</v>
      </c>
      <c r="C35" s="1">
        <v>46138</v>
      </c>
      <c r="D35" t="s">
        <v>45</v>
      </c>
      <c r="E35" t="b">
        <v>1</v>
      </c>
      <c r="F35">
        <v>1</v>
      </c>
      <c r="G35" s="2">
        <v>0.98055555555555551</v>
      </c>
      <c r="H35" t="s">
        <v>228</v>
      </c>
      <c r="I35" t="s">
        <v>228</v>
      </c>
      <c r="J35" t="s">
        <v>45</v>
      </c>
      <c r="K35" t="b">
        <v>1</v>
      </c>
      <c r="L35" t="b">
        <v>0</v>
      </c>
      <c r="M35">
        <v>15.763633333333301</v>
      </c>
      <c r="N35">
        <v>5</v>
      </c>
      <c r="O35" t="s">
        <v>229</v>
      </c>
      <c r="P35">
        <v>0.2601</v>
      </c>
      <c r="Q35">
        <v>5</v>
      </c>
      <c r="R35">
        <v>10</v>
      </c>
      <c r="S35">
        <v>3</v>
      </c>
      <c r="T35" t="str">
        <f>_xlfn.XLOOKUP(Table1[[#This Row],[csat_score]],Sheet2!A:A,Sheet2!D:D)</f>
        <v>Alta</v>
      </c>
      <c r="U35" t="str">
        <f>_xlfn.XLOOKUP(Table1[[#This Row],[nps_score]],Sheet2!B:B,Sheet2!E:E)</f>
        <v>promoter</v>
      </c>
      <c r="V35" t="str">
        <f>_xlfn.XLOOKUP(Table1[[#This Row],[resolution_numeric]],Sheet2!C:C,Sheet2!F:F)</f>
        <v>yes</v>
      </c>
      <c r="W35">
        <f>1</f>
        <v>1</v>
      </c>
      <c r="X35">
        <f>IF(ISBLANK(Table1[[#This Row],[nps_category]]),0,1)</f>
        <v>1</v>
      </c>
    </row>
    <row r="36" spans="1:24" hidden="1" x14ac:dyDescent="0.25">
      <c r="A36" t="s">
        <v>412</v>
      </c>
      <c r="B36" t="s">
        <v>413</v>
      </c>
      <c r="C36" s="1">
        <v>46138</v>
      </c>
      <c r="D36" t="s">
        <v>45</v>
      </c>
      <c r="E36" t="b">
        <v>1</v>
      </c>
      <c r="F36">
        <v>2</v>
      </c>
      <c r="G36" s="2">
        <v>4.5138888888888888E-2</v>
      </c>
      <c r="H36" t="s">
        <v>415</v>
      </c>
      <c r="I36" t="s">
        <v>415</v>
      </c>
      <c r="J36" t="s">
        <v>45</v>
      </c>
      <c r="K36" t="b">
        <v>1</v>
      </c>
      <c r="L36" t="b">
        <v>0</v>
      </c>
      <c r="M36">
        <v>6.4578833333333296</v>
      </c>
      <c r="N36">
        <v>5</v>
      </c>
      <c r="O36" t="s">
        <v>216</v>
      </c>
      <c r="P36">
        <v>0.3997</v>
      </c>
      <c r="Q36">
        <v>5</v>
      </c>
      <c r="R36">
        <v>10</v>
      </c>
      <c r="S36">
        <v>3</v>
      </c>
      <c r="T36" t="str">
        <f>_xlfn.XLOOKUP(Table1[[#This Row],[csat_score]],Sheet2!A:A,Sheet2!D:D)</f>
        <v>Alta</v>
      </c>
      <c r="U36" t="str">
        <f>_xlfn.XLOOKUP(Table1[[#This Row],[nps_score]],Sheet2!B:B,Sheet2!E:E)</f>
        <v>promoter</v>
      </c>
      <c r="V36" t="str">
        <f>_xlfn.XLOOKUP(Table1[[#This Row],[resolution_numeric]],Sheet2!C:C,Sheet2!F:F)</f>
        <v>yes</v>
      </c>
      <c r="W36">
        <f>1</f>
        <v>1</v>
      </c>
      <c r="X36">
        <f>IF(ISBLANK(Table1[[#This Row],[nps_category]]),0,1)</f>
        <v>1</v>
      </c>
    </row>
    <row r="37" spans="1:24" hidden="1" x14ac:dyDescent="0.25">
      <c r="A37" t="s">
        <v>412</v>
      </c>
      <c r="B37" t="s">
        <v>413</v>
      </c>
      <c r="C37" s="1">
        <v>46138</v>
      </c>
      <c r="D37" t="s">
        <v>45</v>
      </c>
      <c r="E37" t="b">
        <v>1</v>
      </c>
      <c r="F37">
        <v>3</v>
      </c>
      <c r="G37" s="2">
        <v>6.0416666666666667E-2</v>
      </c>
      <c r="H37" t="s">
        <v>416</v>
      </c>
      <c r="I37" t="s">
        <v>416</v>
      </c>
      <c r="J37" t="s">
        <v>45</v>
      </c>
      <c r="K37" t="b">
        <v>1</v>
      </c>
      <c r="L37" t="b">
        <v>1</v>
      </c>
      <c r="M37">
        <v>10.9996333333333</v>
      </c>
      <c r="N37">
        <v>1</v>
      </c>
      <c r="O37" t="s">
        <v>55</v>
      </c>
      <c r="P37">
        <v>0.3765</v>
      </c>
      <c r="Q37">
        <v>5</v>
      </c>
      <c r="R37">
        <v>10</v>
      </c>
      <c r="S37">
        <v>3</v>
      </c>
      <c r="T37" t="str">
        <f>_xlfn.XLOOKUP(Table1[[#This Row],[csat_score]],Sheet2!A:A,Sheet2!D:D)</f>
        <v>Alta</v>
      </c>
      <c r="U37" t="str">
        <f>_xlfn.XLOOKUP(Table1[[#This Row],[nps_score]],Sheet2!B:B,Sheet2!E:E)</f>
        <v>promoter</v>
      </c>
      <c r="V37" t="str">
        <f>_xlfn.XLOOKUP(Table1[[#This Row],[resolution_numeric]],Sheet2!C:C,Sheet2!F:F)</f>
        <v>yes</v>
      </c>
      <c r="W37">
        <f>1</f>
        <v>1</v>
      </c>
      <c r="X37">
        <f>IF(ISBLANK(Table1[[#This Row],[nps_category]]),0,1)</f>
        <v>1</v>
      </c>
    </row>
    <row r="38" spans="1:24" hidden="1" x14ac:dyDescent="0.25">
      <c r="A38" t="s">
        <v>412</v>
      </c>
      <c r="B38" t="s">
        <v>413</v>
      </c>
      <c r="C38" s="1">
        <v>46138</v>
      </c>
      <c r="D38" t="s">
        <v>45</v>
      </c>
      <c r="E38" t="b">
        <v>1</v>
      </c>
      <c r="F38">
        <v>4</v>
      </c>
      <c r="G38" s="2">
        <v>0.11597222222222223</v>
      </c>
      <c r="H38" t="s">
        <v>417</v>
      </c>
      <c r="I38" t="s">
        <v>417</v>
      </c>
      <c r="J38" t="s">
        <v>45</v>
      </c>
      <c r="K38" t="b">
        <v>1</v>
      </c>
      <c r="L38" t="b">
        <v>0</v>
      </c>
      <c r="M38">
        <v>7.7275</v>
      </c>
      <c r="N38">
        <v>5</v>
      </c>
      <c r="O38" t="s">
        <v>418</v>
      </c>
      <c r="P38">
        <v>0.3962</v>
      </c>
      <c r="Q38">
        <v>5</v>
      </c>
      <c r="R38">
        <v>10</v>
      </c>
      <c r="S38">
        <v>3</v>
      </c>
      <c r="T38" t="str">
        <f>_xlfn.XLOOKUP(Table1[[#This Row],[csat_score]],Sheet2!A:A,Sheet2!D:D)</f>
        <v>Alta</v>
      </c>
      <c r="U38" t="str">
        <f>_xlfn.XLOOKUP(Table1[[#This Row],[nps_score]],Sheet2!B:B,Sheet2!E:E)</f>
        <v>promoter</v>
      </c>
      <c r="V38" t="str">
        <f>_xlfn.XLOOKUP(Table1[[#This Row],[resolution_numeric]],Sheet2!C:C,Sheet2!F:F)</f>
        <v>yes</v>
      </c>
      <c r="W38">
        <f>1</f>
        <v>1</v>
      </c>
      <c r="X38">
        <f>IF(ISBLANK(Table1[[#This Row],[nps_category]]),0,1)</f>
        <v>1</v>
      </c>
    </row>
    <row r="39" spans="1:24" hidden="1" x14ac:dyDescent="0.25">
      <c r="A39" t="s">
        <v>81</v>
      </c>
      <c r="B39" t="s">
        <v>38</v>
      </c>
      <c r="C39" s="1">
        <v>46139</v>
      </c>
      <c r="D39" t="s">
        <v>45</v>
      </c>
      <c r="E39" t="b">
        <v>1</v>
      </c>
      <c r="F39">
        <v>1</v>
      </c>
      <c r="G39" s="2">
        <v>0.73819444444444449</v>
      </c>
      <c r="H39" t="s">
        <v>82</v>
      </c>
      <c r="I39" t="s">
        <v>82</v>
      </c>
      <c r="J39" t="s">
        <v>45</v>
      </c>
      <c r="K39" t="b">
        <v>1</v>
      </c>
      <c r="L39" t="b">
        <v>0</v>
      </c>
      <c r="M39">
        <v>3.1031499999999999</v>
      </c>
      <c r="N39">
        <v>5</v>
      </c>
      <c r="O39" t="s">
        <v>24</v>
      </c>
      <c r="P39">
        <v>0.15690000000000001</v>
      </c>
      <c r="Q39">
        <v>3</v>
      </c>
      <c r="R39">
        <v>10</v>
      </c>
      <c r="S39">
        <v>3</v>
      </c>
      <c r="T39" t="str">
        <f>_xlfn.XLOOKUP(Table1[[#This Row],[csat_score]],Sheet2!A:A,Sheet2!D:D)</f>
        <v>Media</v>
      </c>
      <c r="U39" t="str">
        <f>_xlfn.XLOOKUP(Table1[[#This Row],[nps_score]],Sheet2!B:B,Sheet2!E:E)</f>
        <v>promoter</v>
      </c>
      <c r="V39" t="str">
        <f>_xlfn.XLOOKUP(Table1[[#This Row],[resolution_numeric]],Sheet2!C:C,Sheet2!F:F)</f>
        <v>yes</v>
      </c>
      <c r="W39">
        <f>1</f>
        <v>1</v>
      </c>
      <c r="X39">
        <f>IF(ISBLANK(Table1[[#This Row],[nps_category]]),0,1)</f>
        <v>1</v>
      </c>
    </row>
    <row r="40" spans="1:24" hidden="1" x14ac:dyDescent="0.25">
      <c r="A40" t="s">
        <v>555</v>
      </c>
      <c r="B40" t="s">
        <v>502</v>
      </c>
      <c r="C40" s="1">
        <v>46138</v>
      </c>
      <c r="D40" t="s">
        <v>45</v>
      </c>
      <c r="E40" t="b">
        <v>1</v>
      </c>
      <c r="F40">
        <v>1</v>
      </c>
      <c r="G40" s="2">
        <v>0.96805555555555556</v>
      </c>
      <c r="H40" t="s">
        <v>556</v>
      </c>
      <c r="I40" t="s">
        <v>556</v>
      </c>
      <c r="J40" t="s">
        <v>45</v>
      </c>
      <c r="K40" t="b">
        <v>1</v>
      </c>
      <c r="L40" t="b">
        <v>0</v>
      </c>
      <c r="M40">
        <v>7.872749999999999</v>
      </c>
      <c r="N40">
        <v>5</v>
      </c>
      <c r="O40" t="s">
        <v>557</v>
      </c>
      <c r="P40">
        <v>0.42270000000000002</v>
      </c>
      <c r="Q40">
        <v>5</v>
      </c>
      <c r="R40">
        <v>10</v>
      </c>
      <c r="S40">
        <v>3</v>
      </c>
      <c r="T40" t="str">
        <f>_xlfn.XLOOKUP(Table1[[#This Row],[csat_score]],Sheet2!A:A,Sheet2!D:D)</f>
        <v>Alta</v>
      </c>
      <c r="U40" t="str">
        <f>_xlfn.XLOOKUP(Table1[[#This Row],[nps_score]],Sheet2!B:B,Sheet2!E:E)</f>
        <v>promoter</v>
      </c>
      <c r="V40" t="str">
        <f>_xlfn.XLOOKUP(Table1[[#This Row],[resolution_numeric]],Sheet2!C:C,Sheet2!F:F)</f>
        <v>yes</v>
      </c>
      <c r="W40">
        <f>1</f>
        <v>1</v>
      </c>
      <c r="X40">
        <f>IF(ISBLANK(Table1[[#This Row],[nps_category]]),0,1)</f>
        <v>1</v>
      </c>
    </row>
    <row r="41" spans="1:24" hidden="1" x14ac:dyDescent="0.25">
      <c r="A41" t="s">
        <v>857</v>
      </c>
      <c r="B41" t="s">
        <v>38</v>
      </c>
      <c r="C41" s="1">
        <v>46138</v>
      </c>
      <c r="D41" t="s">
        <v>45</v>
      </c>
      <c r="E41" t="b">
        <v>1</v>
      </c>
      <c r="F41">
        <v>1</v>
      </c>
      <c r="G41" s="2">
        <v>0.95416666666666672</v>
      </c>
      <c r="H41" t="s">
        <v>858</v>
      </c>
      <c r="I41" t="s">
        <v>858</v>
      </c>
      <c r="J41" t="s">
        <v>45</v>
      </c>
      <c r="K41" t="b">
        <v>1</v>
      </c>
      <c r="L41" t="b">
        <v>0</v>
      </c>
      <c r="M41">
        <v>5.1792166666666599</v>
      </c>
      <c r="N41">
        <v>5</v>
      </c>
      <c r="O41" t="s">
        <v>141</v>
      </c>
      <c r="P41">
        <v>0.46129999999999999</v>
      </c>
      <c r="Q41">
        <v>5</v>
      </c>
      <c r="R41">
        <v>10</v>
      </c>
      <c r="S41">
        <v>3</v>
      </c>
      <c r="T41" t="str">
        <f>_xlfn.XLOOKUP(Table1[[#This Row],[csat_score]],Sheet2!A:A,Sheet2!D:D)</f>
        <v>Alta</v>
      </c>
      <c r="U41" t="str">
        <f>_xlfn.XLOOKUP(Table1[[#This Row],[nps_score]],Sheet2!B:B,Sheet2!E:E)</f>
        <v>promoter</v>
      </c>
      <c r="V41" t="str">
        <f>_xlfn.XLOOKUP(Table1[[#This Row],[resolution_numeric]],Sheet2!C:C,Sheet2!F:F)</f>
        <v>yes</v>
      </c>
      <c r="W41">
        <f>1</f>
        <v>1</v>
      </c>
      <c r="X41">
        <f>IF(ISBLANK(Table1[[#This Row],[nps_category]]),0,1)</f>
        <v>1</v>
      </c>
    </row>
    <row r="42" spans="1:24" hidden="1" x14ac:dyDescent="0.25">
      <c r="A42" t="s">
        <v>81</v>
      </c>
      <c r="B42" t="s">
        <v>38</v>
      </c>
      <c r="C42" s="1">
        <v>46139</v>
      </c>
      <c r="D42" t="s">
        <v>45</v>
      </c>
      <c r="E42" t="b">
        <v>1</v>
      </c>
      <c r="F42">
        <v>2</v>
      </c>
      <c r="G42" s="2">
        <v>0.74722222222222223</v>
      </c>
      <c r="H42" t="s">
        <v>83</v>
      </c>
      <c r="I42" t="s">
        <v>83</v>
      </c>
      <c r="J42" t="s">
        <v>45</v>
      </c>
      <c r="K42" t="b">
        <v>1</v>
      </c>
      <c r="L42" t="b">
        <v>0</v>
      </c>
      <c r="M42">
        <v>10.264333333333301</v>
      </c>
      <c r="N42">
        <v>5</v>
      </c>
      <c r="O42" t="s">
        <v>84</v>
      </c>
      <c r="P42">
        <v>0.4138</v>
      </c>
      <c r="Q42">
        <v>3</v>
      </c>
      <c r="R42">
        <v>10</v>
      </c>
      <c r="S42">
        <v>3</v>
      </c>
      <c r="T42" t="str">
        <f>_xlfn.XLOOKUP(Table1[[#This Row],[csat_score]],Sheet2!A:A,Sheet2!D:D)</f>
        <v>Media</v>
      </c>
      <c r="U42" t="str">
        <f>_xlfn.XLOOKUP(Table1[[#This Row],[nps_score]],Sheet2!B:B,Sheet2!E:E)</f>
        <v>promoter</v>
      </c>
      <c r="V42" t="str">
        <f>_xlfn.XLOOKUP(Table1[[#This Row],[resolution_numeric]],Sheet2!C:C,Sheet2!F:F)</f>
        <v>yes</v>
      </c>
      <c r="W42">
        <f>1</f>
        <v>1</v>
      </c>
      <c r="X42">
        <f>IF(ISBLANK(Table1[[#This Row],[nps_category]]),0,1)</f>
        <v>1</v>
      </c>
    </row>
    <row r="43" spans="1:24" hidden="1" x14ac:dyDescent="0.25">
      <c r="A43" t="s">
        <v>160</v>
      </c>
      <c r="B43" t="s">
        <v>124</v>
      </c>
      <c r="C43" s="1">
        <v>46139</v>
      </c>
      <c r="D43" t="s">
        <v>22</v>
      </c>
      <c r="E43" t="b">
        <v>0</v>
      </c>
      <c r="F43">
        <v>1</v>
      </c>
      <c r="G43" s="2">
        <v>7.7083333333333337E-2</v>
      </c>
      <c r="H43" t="s">
        <v>161</v>
      </c>
      <c r="I43" t="s">
        <v>161</v>
      </c>
      <c r="J43" t="s">
        <v>22</v>
      </c>
      <c r="K43" t="b">
        <v>0</v>
      </c>
      <c r="L43" t="b">
        <v>0</v>
      </c>
      <c r="M43">
        <v>10.4559833333333</v>
      </c>
      <c r="N43">
        <v>5</v>
      </c>
      <c r="O43" t="s">
        <v>162</v>
      </c>
      <c r="P43">
        <v>0.58450000000000002</v>
      </c>
      <c r="Q43">
        <v>5</v>
      </c>
      <c r="R43">
        <v>10</v>
      </c>
      <c r="S43">
        <v>3</v>
      </c>
      <c r="T43" t="str">
        <f>_xlfn.XLOOKUP(Table1[[#This Row],[csat_score]],Sheet2!A:A,Sheet2!D:D)</f>
        <v>Alta</v>
      </c>
      <c r="U43" t="str">
        <f>_xlfn.XLOOKUP(Table1[[#This Row],[nps_score]],Sheet2!B:B,Sheet2!E:E)</f>
        <v>promoter</v>
      </c>
      <c r="V43" t="str">
        <f>_xlfn.XLOOKUP(Table1[[#This Row],[resolution_numeric]],Sheet2!C:C,Sheet2!F:F)</f>
        <v>yes</v>
      </c>
      <c r="W43">
        <f>1</f>
        <v>1</v>
      </c>
      <c r="X43">
        <f>IF(ISBLANK(Table1[[#This Row],[nps_category]]),0,1)</f>
        <v>1</v>
      </c>
    </row>
    <row r="44" spans="1:24" hidden="1" x14ac:dyDescent="0.25">
      <c r="A44" t="s">
        <v>294</v>
      </c>
      <c r="B44" t="s">
        <v>38</v>
      </c>
      <c r="C44" s="1">
        <v>46139</v>
      </c>
      <c r="D44" t="s">
        <v>45</v>
      </c>
      <c r="E44" t="b">
        <v>1</v>
      </c>
      <c r="F44">
        <v>1</v>
      </c>
      <c r="G44" s="2">
        <v>0.79236111111111107</v>
      </c>
      <c r="H44" t="s">
        <v>295</v>
      </c>
      <c r="I44" t="s">
        <v>295</v>
      </c>
      <c r="J44" t="s">
        <v>45</v>
      </c>
      <c r="K44" t="b">
        <v>1</v>
      </c>
      <c r="L44" t="b">
        <v>0</v>
      </c>
      <c r="M44">
        <v>12.456333333333301</v>
      </c>
      <c r="N44">
        <v>5</v>
      </c>
      <c r="O44" t="s">
        <v>296</v>
      </c>
      <c r="P44">
        <v>0.19400000000000001</v>
      </c>
      <c r="Q44">
        <v>5</v>
      </c>
      <c r="R44">
        <v>10</v>
      </c>
      <c r="S44">
        <v>3</v>
      </c>
      <c r="T44" t="str">
        <f>_xlfn.XLOOKUP(Table1[[#This Row],[csat_score]],Sheet2!A:A,Sheet2!D:D)</f>
        <v>Alta</v>
      </c>
      <c r="U44" t="str">
        <f>_xlfn.XLOOKUP(Table1[[#This Row],[nps_score]],Sheet2!B:B,Sheet2!E:E)</f>
        <v>promoter</v>
      </c>
      <c r="V44" t="str">
        <f>_xlfn.XLOOKUP(Table1[[#This Row],[resolution_numeric]],Sheet2!C:C,Sheet2!F:F)</f>
        <v>yes</v>
      </c>
      <c r="W44">
        <f>1</f>
        <v>1</v>
      </c>
      <c r="X44">
        <f>IF(ISBLANK(Table1[[#This Row],[nps_category]]),0,1)</f>
        <v>1</v>
      </c>
    </row>
    <row r="45" spans="1:24" hidden="1" x14ac:dyDescent="0.25">
      <c r="A45" t="s">
        <v>364</v>
      </c>
      <c r="B45" t="s">
        <v>38</v>
      </c>
      <c r="C45" s="1">
        <v>46139</v>
      </c>
      <c r="D45" t="s">
        <v>22</v>
      </c>
      <c r="E45" t="b">
        <v>0</v>
      </c>
      <c r="F45">
        <v>1</v>
      </c>
      <c r="G45" s="2">
        <v>0.98055555555555551</v>
      </c>
      <c r="H45" t="s">
        <v>365</v>
      </c>
      <c r="I45" t="s">
        <v>365</v>
      </c>
      <c r="J45" t="s">
        <v>22</v>
      </c>
      <c r="K45" t="b">
        <v>0</v>
      </c>
      <c r="L45" t="b">
        <v>0</v>
      </c>
      <c r="M45">
        <v>3.4245333333333301</v>
      </c>
      <c r="N45">
        <v>5</v>
      </c>
      <c r="O45" t="s">
        <v>366</v>
      </c>
      <c r="P45">
        <v>0.27379999999999999</v>
      </c>
      <c r="Q45">
        <v>2</v>
      </c>
      <c r="R45">
        <v>10</v>
      </c>
      <c r="S45">
        <v>3</v>
      </c>
      <c r="T45" t="str">
        <f>_xlfn.XLOOKUP(Table1[[#This Row],[csat_score]],Sheet2!A:A,Sheet2!D:D)</f>
        <v>Baja</v>
      </c>
      <c r="U45" t="str">
        <f>_xlfn.XLOOKUP(Table1[[#This Row],[nps_score]],Sheet2!B:B,Sheet2!E:E)</f>
        <v>promoter</v>
      </c>
      <c r="V45" t="str">
        <f>_xlfn.XLOOKUP(Table1[[#This Row],[resolution_numeric]],Sheet2!C:C,Sheet2!F:F)</f>
        <v>yes</v>
      </c>
      <c r="W45">
        <f>1</f>
        <v>1</v>
      </c>
      <c r="X45">
        <f>IF(ISBLANK(Table1[[#This Row],[nps_category]]),0,1)</f>
        <v>1</v>
      </c>
    </row>
    <row r="46" spans="1:24" hidden="1" x14ac:dyDescent="0.25">
      <c r="A46" t="s">
        <v>364</v>
      </c>
      <c r="B46" t="s">
        <v>38</v>
      </c>
      <c r="C46" s="1">
        <v>46139</v>
      </c>
      <c r="D46" t="s">
        <v>22</v>
      </c>
      <c r="E46" t="b">
        <v>0</v>
      </c>
      <c r="F46">
        <v>2</v>
      </c>
      <c r="G46" s="2">
        <v>0.98750000000000004</v>
      </c>
      <c r="H46" t="s">
        <v>367</v>
      </c>
      <c r="I46" t="s">
        <v>367</v>
      </c>
      <c r="J46" t="s">
        <v>22</v>
      </c>
      <c r="K46" t="b">
        <v>0</v>
      </c>
      <c r="L46" t="b">
        <v>0</v>
      </c>
      <c r="M46">
        <v>6.00881666666666</v>
      </c>
      <c r="N46">
        <v>5</v>
      </c>
      <c r="O46" t="s">
        <v>368</v>
      </c>
      <c r="P46">
        <v>0.43009999999999998</v>
      </c>
      <c r="Q46">
        <v>2</v>
      </c>
      <c r="R46">
        <v>10</v>
      </c>
      <c r="S46">
        <v>3</v>
      </c>
      <c r="T46" t="str">
        <f>_xlfn.XLOOKUP(Table1[[#This Row],[csat_score]],Sheet2!A:A,Sheet2!D:D)</f>
        <v>Baja</v>
      </c>
      <c r="U46" t="str">
        <f>_xlfn.XLOOKUP(Table1[[#This Row],[nps_score]],Sheet2!B:B,Sheet2!E:E)</f>
        <v>promoter</v>
      </c>
      <c r="V46" t="str">
        <f>_xlfn.XLOOKUP(Table1[[#This Row],[resolution_numeric]],Sheet2!C:C,Sheet2!F:F)</f>
        <v>yes</v>
      </c>
      <c r="W46">
        <f>1</f>
        <v>1</v>
      </c>
      <c r="X46">
        <f>IF(ISBLANK(Table1[[#This Row],[nps_category]]),0,1)</f>
        <v>1</v>
      </c>
    </row>
    <row r="47" spans="1:24" hidden="1" x14ac:dyDescent="0.25">
      <c r="A47" t="s">
        <v>579</v>
      </c>
      <c r="B47" t="s">
        <v>72</v>
      </c>
      <c r="C47" s="1">
        <v>46139</v>
      </c>
      <c r="D47" t="s">
        <v>22</v>
      </c>
      <c r="E47" t="b">
        <v>0</v>
      </c>
      <c r="F47">
        <v>1</v>
      </c>
      <c r="G47" s="2">
        <v>0.78888888888888886</v>
      </c>
      <c r="H47" t="s">
        <v>580</v>
      </c>
      <c r="I47" t="s">
        <v>580</v>
      </c>
      <c r="J47" t="s">
        <v>22</v>
      </c>
      <c r="K47" t="b">
        <v>0</v>
      </c>
      <c r="L47" t="b">
        <v>0</v>
      </c>
      <c r="M47">
        <v>11.258566666666601</v>
      </c>
      <c r="N47">
        <v>5</v>
      </c>
      <c r="O47" t="s">
        <v>51</v>
      </c>
      <c r="P47">
        <v>0.25530000000000003</v>
      </c>
      <c r="Q47">
        <v>3</v>
      </c>
      <c r="R47">
        <v>10</v>
      </c>
      <c r="S47">
        <v>1</v>
      </c>
      <c r="T47" t="str">
        <f>_xlfn.XLOOKUP(Table1[[#This Row],[csat_score]],Sheet2!A:A,Sheet2!D:D)</f>
        <v>Media</v>
      </c>
      <c r="U47" t="str">
        <f>_xlfn.XLOOKUP(Table1[[#This Row],[nps_score]],Sheet2!B:B,Sheet2!E:E)</f>
        <v>promoter</v>
      </c>
      <c r="V47" t="str">
        <f>_xlfn.XLOOKUP(Table1[[#This Row],[resolution_numeric]],Sheet2!C:C,Sheet2!F:F)</f>
        <v>no</v>
      </c>
      <c r="W47">
        <f>1</f>
        <v>1</v>
      </c>
      <c r="X47">
        <f>IF(ISBLANK(Table1[[#This Row],[nps_category]]),0,1)</f>
        <v>1</v>
      </c>
    </row>
    <row r="48" spans="1:24" hidden="1" x14ac:dyDescent="0.25">
      <c r="A48" t="s">
        <v>579</v>
      </c>
      <c r="B48" t="s">
        <v>72</v>
      </c>
      <c r="C48" s="1">
        <v>46139</v>
      </c>
      <c r="D48" t="s">
        <v>22</v>
      </c>
      <c r="E48" t="b">
        <v>0</v>
      </c>
      <c r="F48">
        <v>2</v>
      </c>
      <c r="G48" s="2">
        <v>0.89930555555555558</v>
      </c>
      <c r="H48" t="s">
        <v>581</v>
      </c>
      <c r="I48" t="s">
        <v>581</v>
      </c>
      <c r="J48" t="s">
        <v>22</v>
      </c>
      <c r="K48" t="b">
        <v>0</v>
      </c>
      <c r="L48" t="b">
        <v>0</v>
      </c>
      <c r="M48">
        <v>3.2996333333333299</v>
      </c>
      <c r="N48">
        <v>5</v>
      </c>
      <c r="O48" t="s">
        <v>582</v>
      </c>
      <c r="P48">
        <v>0.23150000000000001</v>
      </c>
      <c r="Q48">
        <v>3</v>
      </c>
      <c r="R48">
        <v>10</v>
      </c>
      <c r="S48">
        <v>1</v>
      </c>
      <c r="T48" t="str">
        <f>_xlfn.XLOOKUP(Table1[[#This Row],[csat_score]],Sheet2!A:A,Sheet2!D:D)</f>
        <v>Media</v>
      </c>
      <c r="U48" t="str">
        <f>_xlfn.XLOOKUP(Table1[[#This Row],[nps_score]],Sheet2!B:B,Sheet2!E:E)</f>
        <v>promoter</v>
      </c>
      <c r="V48" t="str">
        <f>_xlfn.XLOOKUP(Table1[[#This Row],[resolution_numeric]],Sheet2!C:C,Sheet2!F:F)</f>
        <v>no</v>
      </c>
      <c r="W48">
        <f>1</f>
        <v>1</v>
      </c>
      <c r="X48">
        <f>IF(ISBLANK(Table1[[#This Row],[nps_category]]),0,1)</f>
        <v>1</v>
      </c>
    </row>
    <row r="49" spans="1:24" hidden="1" x14ac:dyDescent="0.25">
      <c r="A49" t="s">
        <v>579</v>
      </c>
      <c r="B49" t="s">
        <v>72</v>
      </c>
      <c r="C49" s="1">
        <v>46139</v>
      </c>
      <c r="D49" t="s">
        <v>22</v>
      </c>
      <c r="E49" t="b">
        <v>0</v>
      </c>
      <c r="F49">
        <v>3</v>
      </c>
      <c r="G49" s="2">
        <v>0.90555555555555556</v>
      </c>
      <c r="H49" t="s">
        <v>583</v>
      </c>
      <c r="I49" t="s">
        <v>583</v>
      </c>
      <c r="J49" t="s">
        <v>22</v>
      </c>
      <c r="K49" t="b">
        <v>0</v>
      </c>
      <c r="L49" t="b">
        <v>0</v>
      </c>
      <c r="M49">
        <v>3.7838833333333302</v>
      </c>
      <c r="N49">
        <v>5</v>
      </c>
      <c r="O49" t="s">
        <v>229</v>
      </c>
      <c r="P49">
        <v>0.2157</v>
      </c>
      <c r="Q49">
        <v>3</v>
      </c>
      <c r="R49">
        <v>10</v>
      </c>
      <c r="S49">
        <v>1</v>
      </c>
      <c r="T49" t="str">
        <f>_xlfn.XLOOKUP(Table1[[#This Row],[csat_score]],Sheet2!A:A,Sheet2!D:D)</f>
        <v>Media</v>
      </c>
      <c r="U49" t="str">
        <f>_xlfn.XLOOKUP(Table1[[#This Row],[nps_score]],Sheet2!B:B,Sheet2!E:E)</f>
        <v>promoter</v>
      </c>
      <c r="V49" t="str">
        <f>_xlfn.XLOOKUP(Table1[[#This Row],[resolution_numeric]],Sheet2!C:C,Sheet2!F:F)</f>
        <v>no</v>
      </c>
      <c r="W49">
        <f>1</f>
        <v>1</v>
      </c>
      <c r="X49">
        <f>IF(ISBLANK(Table1[[#This Row],[nps_category]]),0,1)</f>
        <v>1</v>
      </c>
    </row>
    <row r="50" spans="1:24" hidden="1" x14ac:dyDescent="0.25">
      <c r="A50" t="s">
        <v>637</v>
      </c>
      <c r="B50" t="s">
        <v>38</v>
      </c>
      <c r="C50" s="1">
        <v>46139</v>
      </c>
      <c r="D50" t="s">
        <v>22</v>
      </c>
      <c r="E50" t="b">
        <v>0</v>
      </c>
      <c r="F50">
        <v>1</v>
      </c>
      <c r="G50" s="2">
        <v>0.75694444444444442</v>
      </c>
      <c r="H50" t="s">
        <v>638</v>
      </c>
      <c r="I50" t="s">
        <v>638</v>
      </c>
      <c r="J50" t="s">
        <v>22</v>
      </c>
      <c r="K50" t="b">
        <v>0</v>
      </c>
      <c r="L50" t="b">
        <v>0</v>
      </c>
      <c r="M50">
        <v>3.6281666666666599</v>
      </c>
      <c r="N50">
        <v>5</v>
      </c>
      <c r="O50" t="s">
        <v>63</v>
      </c>
      <c r="P50">
        <v>0.33689999999999998</v>
      </c>
      <c r="Q50">
        <v>3</v>
      </c>
      <c r="R50">
        <v>10</v>
      </c>
      <c r="S50">
        <v>3</v>
      </c>
      <c r="T50" t="str">
        <f>_xlfn.XLOOKUP(Table1[[#This Row],[csat_score]],Sheet2!A:A,Sheet2!D:D)</f>
        <v>Media</v>
      </c>
      <c r="U50" t="str">
        <f>_xlfn.XLOOKUP(Table1[[#This Row],[nps_score]],Sheet2!B:B,Sheet2!E:E)</f>
        <v>promoter</v>
      </c>
      <c r="V50" t="str">
        <f>_xlfn.XLOOKUP(Table1[[#This Row],[resolution_numeric]],Sheet2!C:C,Sheet2!F:F)</f>
        <v>yes</v>
      </c>
      <c r="W50">
        <f>1</f>
        <v>1</v>
      </c>
      <c r="X50">
        <f>IF(ISBLANK(Table1[[#This Row],[nps_category]]),0,1)</f>
        <v>1</v>
      </c>
    </row>
    <row r="51" spans="1:24" hidden="1" x14ac:dyDescent="0.25">
      <c r="A51" t="s">
        <v>637</v>
      </c>
      <c r="B51" t="s">
        <v>38</v>
      </c>
      <c r="C51" s="1">
        <v>46139</v>
      </c>
      <c r="D51" t="s">
        <v>22</v>
      </c>
      <c r="E51" t="b">
        <v>0</v>
      </c>
      <c r="F51">
        <v>2</v>
      </c>
      <c r="G51" s="2">
        <v>0.76249999999999996</v>
      </c>
      <c r="H51" t="s">
        <v>639</v>
      </c>
      <c r="I51" t="s">
        <v>639</v>
      </c>
      <c r="J51" t="s">
        <v>22</v>
      </c>
      <c r="K51" t="b">
        <v>0</v>
      </c>
      <c r="L51" t="b">
        <v>0</v>
      </c>
      <c r="M51">
        <v>5.42916666666666</v>
      </c>
      <c r="N51">
        <v>5</v>
      </c>
      <c r="O51" t="s">
        <v>640</v>
      </c>
      <c r="P51">
        <v>0.45669999999999999</v>
      </c>
      <c r="Q51">
        <v>3</v>
      </c>
      <c r="R51">
        <v>10</v>
      </c>
      <c r="S51">
        <v>3</v>
      </c>
      <c r="T51" t="str">
        <f>_xlfn.XLOOKUP(Table1[[#This Row],[csat_score]],Sheet2!A:A,Sheet2!D:D)</f>
        <v>Media</v>
      </c>
      <c r="U51" t="str">
        <f>_xlfn.XLOOKUP(Table1[[#This Row],[nps_score]],Sheet2!B:B,Sheet2!E:E)</f>
        <v>promoter</v>
      </c>
      <c r="V51" t="str">
        <f>_xlfn.XLOOKUP(Table1[[#This Row],[resolution_numeric]],Sheet2!C:C,Sheet2!F:F)</f>
        <v>yes</v>
      </c>
      <c r="W51">
        <f>1</f>
        <v>1</v>
      </c>
      <c r="X51">
        <f>IF(ISBLANK(Table1[[#This Row],[nps_category]]),0,1)</f>
        <v>1</v>
      </c>
    </row>
    <row r="52" spans="1:24" hidden="1" x14ac:dyDescent="0.25">
      <c r="A52" t="s">
        <v>877</v>
      </c>
      <c r="B52" t="s">
        <v>72</v>
      </c>
      <c r="C52" s="1">
        <v>46139</v>
      </c>
      <c r="D52" t="s">
        <v>45</v>
      </c>
      <c r="E52" t="b">
        <v>1</v>
      </c>
      <c r="F52">
        <v>1</v>
      </c>
      <c r="G52" s="2">
        <v>5.5555555555555552E-2</v>
      </c>
      <c r="H52" t="s">
        <v>878</v>
      </c>
      <c r="I52" t="s">
        <v>878</v>
      </c>
      <c r="J52" t="s">
        <v>45</v>
      </c>
      <c r="K52" t="b">
        <v>1</v>
      </c>
      <c r="L52" t="b">
        <v>0</v>
      </c>
      <c r="M52">
        <v>8.548083333333329</v>
      </c>
      <c r="N52">
        <v>5</v>
      </c>
      <c r="O52" t="s">
        <v>216</v>
      </c>
      <c r="P52">
        <v>0.41489999999999999</v>
      </c>
      <c r="Q52">
        <v>5</v>
      </c>
      <c r="R52">
        <v>10</v>
      </c>
      <c r="S52">
        <v>3</v>
      </c>
      <c r="T52" t="str">
        <f>_xlfn.XLOOKUP(Table1[[#This Row],[csat_score]],Sheet2!A:A,Sheet2!D:D)</f>
        <v>Alta</v>
      </c>
      <c r="U52" t="str">
        <f>_xlfn.XLOOKUP(Table1[[#This Row],[nps_score]],Sheet2!B:B,Sheet2!E:E)</f>
        <v>promoter</v>
      </c>
      <c r="V52" t="str">
        <f>_xlfn.XLOOKUP(Table1[[#This Row],[resolution_numeric]],Sheet2!C:C,Sheet2!F:F)</f>
        <v>yes</v>
      </c>
      <c r="W52">
        <f>1</f>
        <v>1</v>
      </c>
      <c r="X52">
        <f>IF(ISBLANK(Table1[[#This Row],[nps_category]]),0,1)</f>
        <v>1</v>
      </c>
    </row>
    <row r="53" spans="1:24" hidden="1" x14ac:dyDescent="0.25">
      <c r="A53" t="s">
        <v>1028</v>
      </c>
      <c r="B53">
        <v>51985738333</v>
      </c>
      <c r="C53" s="1">
        <v>46139</v>
      </c>
      <c r="D53" t="s">
        <v>45</v>
      </c>
      <c r="E53" t="b">
        <v>1</v>
      </c>
      <c r="F53">
        <v>2</v>
      </c>
      <c r="G53" s="2">
        <v>3.9583333333333331E-2</v>
      </c>
      <c r="H53" t="s">
        <v>1029</v>
      </c>
      <c r="I53" t="s">
        <v>1029</v>
      </c>
      <c r="J53" t="s">
        <v>45</v>
      </c>
      <c r="K53" t="b">
        <v>1</v>
      </c>
      <c r="L53" t="b">
        <v>0</v>
      </c>
      <c r="M53">
        <v>5.6735500000000005</v>
      </c>
      <c r="N53">
        <v>5</v>
      </c>
      <c r="O53" t="s">
        <v>51</v>
      </c>
      <c r="P53">
        <v>0.46810000000000002</v>
      </c>
      <c r="Q53">
        <v>5</v>
      </c>
      <c r="R53">
        <v>10</v>
      </c>
      <c r="S53">
        <v>2</v>
      </c>
      <c r="T53" t="str">
        <f>_xlfn.XLOOKUP(Table1[[#This Row],[csat_score]],Sheet2!A:A,Sheet2!D:D)</f>
        <v>Alta</v>
      </c>
      <c r="U53" t="str">
        <f>_xlfn.XLOOKUP(Table1[[#This Row],[nps_score]],Sheet2!B:B,Sheet2!E:E)</f>
        <v>promoter</v>
      </c>
      <c r="V53" t="str">
        <f>_xlfn.XLOOKUP(Table1[[#This Row],[resolution_numeric]],Sheet2!C:C,Sheet2!F:F)</f>
        <v>partial</v>
      </c>
      <c r="W53">
        <f>1</f>
        <v>1</v>
      </c>
      <c r="X53">
        <f>IF(ISBLANK(Table1[[#This Row],[nps_category]]),0,1)</f>
        <v>1</v>
      </c>
    </row>
    <row r="54" spans="1:24" hidden="1" x14ac:dyDescent="0.25">
      <c r="A54" t="s">
        <v>1028</v>
      </c>
      <c r="B54">
        <v>51985738333</v>
      </c>
      <c r="C54" s="1">
        <v>46139</v>
      </c>
      <c r="D54" t="s">
        <v>45</v>
      </c>
      <c r="E54" t="b">
        <v>1</v>
      </c>
      <c r="F54">
        <v>3</v>
      </c>
      <c r="G54" s="2">
        <v>4.8611111111111112E-2</v>
      </c>
      <c r="H54" t="s">
        <v>1030</v>
      </c>
      <c r="I54" t="s">
        <v>1030</v>
      </c>
      <c r="J54" t="s">
        <v>45</v>
      </c>
      <c r="K54" t="b">
        <v>1</v>
      </c>
      <c r="L54" t="b">
        <v>0</v>
      </c>
      <c r="M54">
        <v>9.1860666666666599</v>
      </c>
      <c r="N54">
        <v>5</v>
      </c>
      <c r="O54" t="s">
        <v>1031</v>
      </c>
      <c r="P54">
        <v>0.21959999999999999</v>
      </c>
      <c r="Q54">
        <v>5</v>
      </c>
      <c r="R54">
        <v>10</v>
      </c>
      <c r="S54">
        <v>2</v>
      </c>
      <c r="T54" t="str">
        <f>_xlfn.XLOOKUP(Table1[[#This Row],[csat_score]],Sheet2!A:A,Sheet2!D:D)</f>
        <v>Alta</v>
      </c>
      <c r="U54" t="str">
        <f>_xlfn.XLOOKUP(Table1[[#This Row],[nps_score]],Sheet2!B:B,Sheet2!E:E)</f>
        <v>promoter</v>
      </c>
      <c r="V54" t="str">
        <f>_xlfn.XLOOKUP(Table1[[#This Row],[resolution_numeric]],Sheet2!C:C,Sheet2!F:F)</f>
        <v>partial</v>
      </c>
      <c r="W54">
        <f>1</f>
        <v>1</v>
      </c>
      <c r="X54">
        <f>IF(ISBLANK(Table1[[#This Row],[nps_category]]),0,1)</f>
        <v>1</v>
      </c>
    </row>
    <row r="55" spans="1:24" hidden="1" x14ac:dyDescent="0.25">
      <c r="A55" t="s">
        <v>1068</v>
      </c>
      <c r="B55" t="s">
        <v>38</v>
      </c>
      <c r="C55" s="1">
        <v>46139</v>
      </c>
      <c r="D55" t="s">
        <v>22</v>
      </c>
      <c r="E55" t="b">
        <v>0</v>
      </c>
      <c r="F55">
        <v>1</v>
      </c>
      <c r="G55" s="2">
        <v>5.8333333333333334E-2</v>
      </c>
      <c r="H55" t="s">
        <v>1069</v>
      </c>
      <c r="I55" t="s">
        <v>1069</v>
      </c>
      <c r="J55" t="s">
        <v>22</v>
      </c>
      <c r="K55" t="b">
        <v>0</v>
      </c>
      <c r="L55" t="b">
        <v>0</v>
      </c>
      <c r="M55">
        <v>10.7619333333333</v>
      </c>
      <c r="N55">
        <v>5</v>
      </c>
      <c r="O55" t="s">
        <v>216</v>
      </c>
      <c r="P55">
        <v>0.51290000000000002</v>
      </c>
      <c r="Q55">
        <v>2</v>
      </c>
      <c r="R55">
        <v>10</v>
      </c>
      <c r="S55">
        <v>2</v>
      </c>
      <c r="T55" t="str">
        <f>_xlfn.XLOOKUP(Table1[[#This Row],[csat_score]],Sheet2!A:A,Sheet2!D:D)</f>
        <v>Baja</v>
      </c>
      <c r="U55" t="str">
        <f>_xlfn.XLOOKUP(Table1[[#This Row],[nps_score]],Sheet2!B:B,Sheet2!E:E)</f>
        <v>promoter</v>
      </c>
      <c r="V55" t="str">
        <f>_xlfn.XLOOKUP(Table1[[#This Row],[resolution_numeric]],Sheet2!C:C,Sheet2!F:F)</f>
        <v>partial</v>
      </c>
      <c r="W55">
        <f>1</f>
        <v>1</v>
      </c>
      <c r="X55">
        <f>IF(ISBLANK(Table1[[#This Row],[nps_category]]),0,1)</f>
        <v>1</v>
      </c>
    </row>
    <row r="56" spans="1:24" hidden="1" x14ac:dyDescent="0.25">
      <c r="A56" t="s">
        <v>360</v>
      </c>
      <c r="B56" t="s">
        <v>38</v>
      </c>
      <c r="C56" s="1">
        <v>46140</v>
      </c>
      <c r="D56" t="s">
        <v>45</v>
      </c>
      <c r="E56" t="b">
        <v>1</v>
      </c>
      <c r="F56">
        <v>1</v>
      </c>
      <c r="G56" s="2">
        <v>0.7416666666666667</v>
      </c>
      <c r="H56" t="s">
        <v>361</v>
      </c>
      <c r="I56" t="s">
        <v>361</v>
      </c>
      <c r="J56" t="s">
        <v>45</v>
      </c>
      <c r="K56" t="b">
        <v>1</v>
      </c>
      <c r="L56" t="b">
        <v>0</v>
      </c>
      <c r="M56">
        <v>5.7222833333333289</v>
      </c>
      <c r="N56">
        <v>5</v>
      </c>
      <c r="O56" t="s">
        <v>362</v>
      </c>
      <c r="P56">
        <v>0.45279999999999998</v>
      </c>
      <c r="Q56">
        <v>5</v>
      </c>
      <c r="R56">
        <v>10</v>
      </c>
      <c r="S56">
        <v>3</v>
      </c>
      <c r="T56" t="str">
        <f>_xlfn.XLOOKUP(Table1[[#This Row],[csat_score]],Sheet2!A:A,Sheet2!D:D)</f>
        <v>Alta</v>
      </c>
      <c r="U56" t="str">
        <f>_xlfn.XLOOKUP(Table1[[#This Row],[nps_score]],Sheet2!B:B,Sheet2!E:E)</f>
        <v>promoter</v>
      </c>
      <c r="V56" t="str">
        <f>_xlfn.XLOOKUP(Table1[[#This Row],[resolution_numeric]],Sheet2!C:C,Sheet2!F:F)</f>
        <v>yes</v>
      </c>
      <c r="W56">
        <f>1</f>
        <v>1</v>
      </c>
      <c r="X56">
        <f>IF(ISBLANK(Table1[[#This Row],[nps_category]]),0,1)</f>
        <v>1</v>
      </c>
    </row>
    <row r="57" spans="1:24" hidden="1" x14ac:dyDescent="0.25">
      <c r="A57" t="s">
        <v>598</v>
      </c>
      <c r="B57" t="s">
        <v>38</v>
      </c>
      <c r="C57" s="1">
        <v>46140</v>
      </c>
      <c r="D57" t="s">
        <v>45</v>
      </c>
      <c r="E57" t="b">
        <v>1</v>
      </c>
      <c r="F57">
        <v>1</v>
      </c>
      <c r="G57" s="2">
        <v>2.5000000000000001E-2</v>
      </c>
      <c r="H57" t="s">
        <v>599</v>
      </c>
      <c r="I57" t="s">
        <v>599</v>
      </c>
      <c r="J57" t="s">
        <v>45</v>
      </c>
      <c r="K57" t="b">
        <v>1</v>
      </c>
      <c r="L57" t="b">
        <v>0</v>
      </c>
      <c r="M57">
        <v>28.512499999999999</v>
      </c>
      <c r="N57">
        <v>5</v>
      </c>
      <c r="O57" t="s">
        <v>600</v>
      </c>
      <c r="P57">
        <v>0.46079999999999999</v>
      </c>
      <c r="Q57">
        <v>5</v>
      </c>
      <c r="R57">
        <v>10</v>
      </c>
      <c r="S57">
        <v>3</v>
      </c>
      <c r="T57" t="str">
        <f>_xlfn.XLOOKUP(Table1[[#This Row],[csat_score]],Sheet2!A:A,Sheet2!D:D)</f>
        <v>Alta</v>
      </c>
      <c r="U57" t="str">
        <f>_xlfn.XLOOKUP(Table1[[#This Row],[nps_score]],Sheet2!B:B,Sheet2!E:E)</f>
        <v>promoter</v>
      </c>
      <c r="V57" t="str">
        <f>_xlfn.XLOOKUP(Table1[[#This Row],[resolution_numeric]],Sheet2!C:C,Sheet2!F:F)</f>
        <v>yes</v>
      </c>
      <c r="W57">
        <f>1</f>
        <v>1</v>
      </c>
      <c r="X57">
        <f>IF(ISBLANK(Table1[[#This Row],[nps_category]]),0,1)</f>
        <v>1</v>
      </c>
    </row>
    <row r="58" spans="1:24" hidden="1" x14ac:dyDescent="0.25">
      <c r="A58" t="s">
        <v>954</v>
      </c>
      <c r="B58" t="s">
        <v>38</v>
      </c>
      <c r="C58" s="1">
        <v>46140</v>
      </c>
      <c r="D58" t="s">
        <v>22</v>
      </c>
      <c r="E58" t="b">
        <v>0</v>
      </c>
      <c r="F58">
        <v>1</v>
      </c>
      <c r="G58" s="2">
        <v>0.90694444444444444</v>
      </c>
      <c r="H58" t="s">
        <v>955</v>
      </c>
      <c r="I58" t="s">
        <v>955</v>
      </c>
      <c r="J58" t="s">
        <v>22</v>
      </c>
      <c r="K58" t="b">
        <v>0</v>
      </c>
      <c r="L58" t="b">
        <v>0</v>
      </c>
      <c r="M58">
        <v>6.1042166666666597</v>
      </c>
      <c r="N58">
        <v>5</v>
      </c>
      <c r="O58" t="s">
        <v>956</v>
      </c>
      <c r="P58">
        <v>0.39329999999999998</v>
      </c>
      <c r="Q58">
        <v>5</v>
      </c>
      <c r="R58">
        <v>10</v>
      </c>
      <c r="S58">
        <v>3</v>
      </c>
      <c r="T58" t="str">
        <f>_xlfn.XLOOKUP(Table1[[#This Row],[csat_score]],Sheet2!A:A,Sheet2!D:D)</f>
        <v>Alta</v>
      </c>
      <c r="U58" t="str">
        <f>_xlfn.XLOOKUP(Table1[[#This Row],[nps_score]],Sheet2!B:B,Sheet2!E:E)</f>
        <v>promoter</v>
      </c>
      <c r="V58" t="str">
        <f>_xlfn.XLOOKUP(Table1[[#This Row],[resolution_numeric]],Sheet2!C:C,Sheet2!F:F)</f>
        <v>yes</v>
      </c>
      <c r="W58">
        <f>1</f>
        <v>1</v>
      </c>
      <c r="X58">
        <f>IF(ISBLANK(Table1[[#This Row],[nps_category]]),0,1)</f>
        <v>1</v>
      </c>
    </row>
    <row r="59" spans="1:24" hidden="1" x14ac:dyDescent="0.25">
      <c r="A59" t="s">
        <v>213</v>
      </c>
      <c r="B59" t="s">
        <v>214</v>
      </c>
      <c r="C59" s="1">
        <v>46141</v>
      </c>
      <c r="D59" t="s">
        <v>45</v>
      </c>
      <c r="E59" t="b">
        <v>1</v>
      </c>
      <c r="F59">
        <v>1</v>
      </c>
      <c r="G59" s="2">
        <v>0.82430555555555551</v>
      </c>
      <c r="H59" t="s">
        <v>215</v>
      </c>
      <c r="I59" t="s">
        <v>215</v>
      </c>
      <c r="J59" t="s">
        <v>45</v>
      </c>
      <c r="K59" t="b">
        <v>1</v>
      </c>
      <c r="L59" t="b">
        <v>0</v>
      </c>
      <c r="M59">
        <v>10.3008333333333</v>
      </c>
      <c r="N59">
        <v>5</v>
      </c>
      <c r="O59" t="s">
        <v>216</v>
      </c>
      <c r="P59">
        <v>0.22420000000000001</v>
      </c>
      <c r="Q59">
        <v>5</v>
      </c>
      <c r="R59">
        <v>10</v>
      </c>
      <c r="S59">
        <v>2</v>
      </c>
      <c r="T59" t="str">
        <f>_xlfn.XLOOKUP(Table1[[#This Row],[csat_score]],Sheet2!A:A,Sheet2!D:D)</f>
        <v>Alta</v>
      </c>
      <c r="U59" t="str">
        <f>_xlfn.XLOOKUP(Table1[[#This Row],[nps_score]],Sheet2!B:B,Sheet2!E:E)</f>
        <v>promoter</v>
      </c>
      <c r="V59" t="str">
        <f>_xlfn.XLOOKUP(Table1[[#This Row],[resolution_numeric]],Sheet2!C:C,Sheet2!F:F)</f>
        <v>partial</v>
      </c>
      <c r="W59">
        <f>1</f>
        <v>1</v>
      </c>
      <c r="X59">
        <f>IF(ISBLANK(Table1[[#This Row],[nps_category]]),0,1)</f>
        <v>1</v>
      </c>
    </row>
    <row r="60" spans="1:24" hidden="1" x14ac:dyDescent="0.25">
      <c r="A60" t="s">
        <v>213</v>
      </c>
      <c r="B60" t="s">
        <v>214</v>
      </c>
      <c r="C60" s="1">
        <v>46141</v>
      </c>
      <c r="D60" t="s">
        <v>45</v>
      </c>
      <c r="E60" t="b">
        <v>1</v>
      </c>
      <c r="F60">
        <v>2</v>
      </c>
      <c r="G60" s="2">
        <v>0.83888888888888891</v>
      </c>
      <c r="H60" t="s">
        <v>217</v>
      </c>
      <c r="I60" t="s">
        <v>217</v>
      </c>
      <c r="J60" t="s">
        <v>45</v>
      </c>
      <c r="K60" t="b">
        <v>1</v>
      </c>
      <c r="L60" t="b">
        <v>0</v>
      </c>
      <c r="M60">
        <v>9.2579499999999992</v>
      </c>
      <c r="N60">
        <v>5</v>
      </c>
      <c r="O60" t="s">
        <v>218</v>
      </c>
      <c r="P60">
        <v>0.20660000000000001</v>
      </c>
      <c r="Q60">
        <v>5</v>
      </c>
      <c r="R60">
        <v>10</v>
      </c>
      <c r="S60">
        <v>2</v>
      </c>
      <c r="T60" t="str">
        <f>_xlfn.XLOOKUP(Table1[[#This Row],[csat_score]],Sheet2!A:A,Sheet2!D:D)</f>
        <v>Alta</v>
      </c>
      <c r="U60" t="str">
        <f>_xlfn.XLOOKUP(Table1[[#This Row],[nps_score]],Sheet2!B:B,Sheet2!E:E)</f>
        <v>promoter</v>
      </c>
      <c r="V60" t="str">
        <f>_xlfn.XLOOKUP(Table1[[#This Row],[resolution_numeric]],Sheet2!C:C,Sheet2!F:F)</f>
        <v>partial</v>
      </c>
      <c r="W60">
        <f>1</f>
        <v>1</v>
      </c>
      <c r="X60">
        <f>IF(ISBLANK(Table1[[#This Row],[nps_category]]),0,1)</f>
        <v>1</v>
      </c>
    </row>
    <row r="61" spans="1:24" hidden="1" x14ac:dyDescent="0.25">
      <c r="A61" t="s">
        <v>432</v>
      </c>
      <c r="B61" t="s">
        <v>433</v>
      </c>
      <c r="C61" s="1">
        <v>46134</v>
      </c>
      <c r="D61" t="s">
        <v>22</v>
      </c>
      <c r="E61" t="b">
        <v>0</v>
      </c>
      <c r="F61">
        <v>1</v>
      </c>
      <c r="G61" s="2">
        <v>5.9027777777777776E-2</v>
      </c>
      <c r="H61" t="s">
        <v>434</v>
      </c>
      <c r="I61" t="s">
        <v>434</v>
      </c>
      <c r="J61" t="s">
        <v>22</v>
      </c>
      <c r="K61" t="b">
        <v>0</v>
      </c>
      <c r="L61" t="b">
        <v>0</v>
      </c>
      <c r="M61">
        <v>23.229216666666602</v>
      </c>
      <c r="N61">
        <v>5</v>
      </c>
      <c r="O61" t="s">
        <v>435</v>
      </c>
      <c r="P61">
        <v>0.1195</v>
      </c>
      <c r="Q61">
        <v>5</v>
      </c>
      <c r="R61">
        <v>10</v>
      </c>
      <c r="S61">
        <v>3</v>
      </c>
      <c r="T61" t="str">
        <f>_xlfn.XLOOKUP(Table1[[#This Row],[csat_score]],Sheet2!A:A,Sheet2!D:D)</f>
        <v>Alta</v>
      </c>
      <c r="U61" t="str">
        <f>_xlfn.XLOOKUP(Table1[[#This Row],[nps_score]],Sheet2!B:B,Sheet2!E:E)</f>
        <v>promoter</v>
      </c>
      <c r="V61" t="str">
        <f>_xlfn.XLOOKUP(Table1[[#This Row],[resolution_numeric]],Sheet2!C:C,Sheet2!F:F)</f>
        <v>yes</v>
      </c>
      <c r="W61">
        <f>1</f>
        <v>1</v>
      </c>
      <c r="X61">
        <f>IF(ISBLANK(Table1[[#This Row],[nps_category]]),0,1)</f>
        <v>1</v>
      </c>
    </row>
    <row r="62" spans="1:24" hidden="1" x14ac:dyDescent="0.25">
      <c r="A62" t="s">
        <v>261</v>
      </c>
      <c r="B62" t="s">
        <v>262</v>
      </c>
      <c r="C62" s="1">
        <v>46141</v>
      </c>
      <c r="D62" t="s">
        <v>45</v>
      </c>
      <c r="E62" t="b">
        <v>1</v>
      </c>
      <c r="F62">
        <v>3</v>
      </c>
      <c r="G62" s="2">
        <v>0.76597222222222228</v>
      </c>
      <c r="H62" t="s">
        <v>263</v>
      </c>
      <c r="I62" t="s">
        <v>263</v>
      </c>
      <c r="J62" t="s">
        <v>45</v>
      </c>
      <c r="K62" t="b">
        <v>1</v>
      </c>
      <c r="L62" t="b">
        <v>0</v>
      </c>
      <c r="M62">
        <v>4.0001333333333298</v>
      </c>
      <c r="N62">
        <v>5</v>
      </c>
      <c r="O62" t="s">
        <v>264</v>
      </c>
      <c r="P62">
        <v>0.34139999999999998</v>
      </c>
      <c r="Q62">
        <v>5</v>
      </c>
      <c r="R62">
        <v>10</v>
      </c>
      <c r="S62">
        <v>2</v>
      </c>
      <c r="T62" t="str">
        <f>_xlfn.XLOOKUP(Table1[[#This Row],[csat_score]],Sheet2!A:A,Sheet2!D:D)</f>
        <v>Alta</v>
      </c>
      <c r="U62" t="str">
        <f>_xlfn.XLOOKUP(Table1[[#This Row],[nps_score]],Sheet2!B:B,Sheet2!E:E)</f>
        <v>promoter</v>
      </c>
      <c r="V62" t="str">
        <f>_xlfn.XLOOKUP(Table1[[#This Row],[resolution_numeric]],Sheet2!C:C,Sheet2!F:F)</f>
        <v>partial</v>
      </c>
      <c r="W62">
        <f>1</f>
        <v>1</v>
      </c>
      <c r="X62">
        <f>IF(ISBLANK(Table1[[#This Row],[nps_category]]),0,1)</f>
        <v>1</v>
      </c>
    </row>
    <row r="63" spans="1:24" hidden="1" x14ac:dyDescent="0.25">
      <c r="A63" t="s">
        <v>304</v>
      </c>
      <c r="B63" t="s">
        <v>305</v>
      </c>
      <c r="C63" s="1">
        <v>46141</v>
      </c>
      <c r="D63" t="s">
        <v>45</v>
      </c>
      <c r="E63" t="b">
        <v>1</v>
      </c>
      <c r="F63">
        <v>1</v>
      </c>
      <c r="G63" s="2">
        <v>0.83125000000000004</v>
      </c>
      <c r="H63" t="s">
        <v>306</v>
      </c>
      <c r="I63" t="s">
        <v>306</v>
      </c>
      <c r="J63" t="s">
        <v>45</v>
      </c>
      <c r="K63" t="b">
        <v>1</v>
      </c>
      <c r="L63" t="b">
        <v>0</v>
      </c>
      <c r="M63">
        <v>13.335150000000001</v>
      </c>
      <c r="N63">
        <v>5</v>
      </c>
      <c r="O63" t="s">
        <v>63</v>
      </c>
      <c r="P63">
        <v>0.2903</v>
      </c>
      <c r="Q63">
        <v>3</v>
      </c>
      <c r="R63">
        <v>10</v>
      </c>
      <c r="S63">
        <v>2</v>
      </c>
      <c r="T63" t="str">
        <f>_xlfn.XLOOKUP(Table1[[#This Row],[csat_score]],Sheet2!A:A,Sheet2!D:D)</f>
        <v>Media</v>
      </c>
      <c r="U63" t="str">
        <f>_xlfn.XLOOKUP(Table1[[#This Row],[nps_score]],Sheet2!B:B,Sheet2!E:E)</f>
        <v>promoter</v>
      </c>
      <c r="V63" t="str">
        <f>_xlfn.XLOOKUP(Table1[[#This Row],[resolution_numeric]],Sheet2!C:C,Sheet2!F:F)</f>
        <v>partial</v>
      </c>
      <c r="W63">
        <f>1</f>
        <v>1</v>
      </c>
      <c r="X63">
        <f>IF(ISBLANK(Table1[[#This Row],[nps_category]]),0,1)</f>
        <v>1</v>
      </c>
    </row>
    <row r="64" spans="1:24" hidden="1" x14ac:dyDescent="0.25">
      <c r="A64" t="s">
        <v>845</v>
      </c>
      <c r="B64" t="s">
        <v>846</v>
      </c>
      <c r="C64" s="1">
        <v>46141</v>
      </c>
      <c r="D64" t="s">
        <v>45</v>
      </c>
      <c r="E64" t="b">
        <v>1</v>
      </c>
      <c r="F64">
        <v>1</v>
      </c>
      <c r="G64" s="2">
        <v>0.87638888888888888</v>
      </c>
      <c r="H64" t="s">
        <v>847</v>
      </c>
      <c r="I64" t="s">
        <v>847</v>
      </c>
      <c r="J64" t="s">
        <v>45</v>
      </c>
      <c r="K64" t="b">
        <v>1</v>
      </c>
      <c r="L64" t="b">
        <v>0</v>
      </c>
      <c r="M64">
        <v>4.9562166666666601</v>
      </c>
      <c r="N64">
        <v>5</v>
      </c>
      <c r="O64" t="s">
        <v>848</v>
      </c>
      <c r="P64">
        <v>0.249</v>
      </c>
      <c r="Q64">
        <v>5</v>
      </c>
      <c r="R64">
        <v>10</v>
      </c>
      <c r="S64">
        <v>3</v>
      </c>
      <c r="T64" t="str">
        <f>_xlfn.XLOOKUP(Table1[[#This Row],[csat_score]],Sheet2!A:A,Sheet2!D:D)</f>
        <v>Alta</v>
      </c>
      <c r="U64" t="str">
        <f>_xlfn.XLOOKUP(Table1[[#This Row],[nps_score]],Sheet2!B:B,Sheet2!E:E)</f>
        <v>promoter</v>
      </c>
      <c r="V64" t="str">
        <f>_xlfn.XLOOKUP(Table1[[#This Row],[resolution_numeric]],Sheet2!C:C,Sheet2!F:F)</f>
        <v>yes</v>
      </c>
      <c r="W64">
        <f>1</f>
        <v>1</v>
      </c>
      <c r="X64">
        <f>IF(ISBLANK(Table1[[#This Row],[nps_category]]),0,1)</f>
        <v>1</v>
      </c>
    </row>
    <row r="65" spans="1:24" hidden="1" x14ac:dyDescent="0.25">
      <c r="A65" t="s">
        <v>904</v>
      </c>
      <c r="B65" t="s">
        <v>905</v>
      </c>
      <c r="C65" s="1">
        <v>46141</v>
      </c>
      <c r="D65" t="s">
        <v>45</v>
      </c>
      <c r="E65" t="b">
        <v>1</v>
      </c>
      <c r="F65">
        <v>1</v>
      </c>
      <c r="G65" s="2">
        <v>0.95347222222222228</v>
      </c>
      <c r="H65" t="s">
        <v>906</v>
      </c>
      <c r="I65" t="s">
        <v>906</v>
      </c>
      <c r="J65" t="s">
        <v>45</v>
      </c>
      <c r="K65" t="b">
        <v>1</v>
      </c>
      <c r="L65" t="b">
        <v>0</v>
      </c>
      <c r="M65">
        <v>14.2899833333333</v>
      </c>
      <c r="N65">
        <v>5</v>
      </c>
      <c r="O65" t="s">
        <v>907</v>
      </c>
      <c r="P65">
        <v>0.28360000000000002</v>
      </c>
      <c r="Q65">
        <v>3</v>
      </c>
      <c r="R65">
        <v>10</v>
      </c>
      <c r="S65">
        <v>2</v>
      </c>
      <c r="T65" t="str">
        <f>_xlfn.XLOOKUP(Table1[[#This Row],[csat_score]],Sheet2!A:A,Sheet2!D:D)</f>
        <v>Media</v>
      </c>
      <c r="U65" t="str">
        <f>_xlfn.XLOOKUP(Table1[[#This Row],[nps_score]],Sheet2!B:B,Sheet2!E:E)</f>
        <v>promoter</v>
      </c>
      <c r="V65" t="str">
        <f>_xlfn.XLOOKUP(Table1[[#This Row],[resolution_numeric]],Sheet2!C:C,Sheet2!F:F)</f>
        <v>partial</v>
      </c>
      <c r="W65">
        <f>1</f>
        <v>1</v>
      </c>
      <c r="X65">
        <f>IF(ISBLANK(Table1[[#This Row],[nps_category]]),0,1)</f>
        <v>1</v>
      </c>
    </row>
    <row r="66" spans="1:24" hidden="1" x14ac:dyDescent="0.25">
      <c r="A66" t="s">
        <v>904</v>
      </c>
      <c r="B66" t="s">
        <v>905</v>
      </c>
      <c r="C66" s="1">
        <v>46141</v>
      </c>
      <c r="D66" t="s">
        <v>45</v>
      </c>
      <c r="E66" t="b">
        <v>1</v>
      </c>
      <c r="F66">
        <v>2</v>
      </c>
      <c r="G66" s="2">
        <v>0.98472222222222228</v>
      </c>
      <c r="H66" t="s">
        <v>908</v>
      </c>
      <c r="I66" t="s">
        <v>908</v>
      </c>
      <c r="J66" t="s">
        <v>45</v>
      </c>
      <c r="K66" t="b">
        <v>1</v>
      </c>
      <c r="L66" t="b">
        <v>0</v>
      </c>
      <c r="M66">
        <v>15.2777333333333</v>
      </c>
      <c r="N66">
        <v>5</v>
      </c>
      <c r="O66" t="s">
        <v>909</v>
      </c>
      <c r="P66">
        <v>0.52180000000000004</v>
      </c>
      <c r="Q66">
        <v>3</v>
      </c>
      <c r="R66">
        <v>10</v>
      </c>
      <c r="S66">
        <v>2</v>
      </c>
      <c r="T66" t="str">
        <f>_xlfn.XLOOKUP(Table1[[#This Row],[csat_score]],Sheet2!A:A,Sheet2!D:D)</f>
        <v>Media</v>
      </c>
      <c r="U66" t="str">
        <f>_xlfn.XLOOKUP(Table1[[#This Row],[nps_score]],Sheet2!B:B,Sheet2!E:E)</f>
        <v>promoter</v>
      </c>
      <c r="V66" t="str">
        <f>_xlfn.XLOOKUP(Table1[[#This Row],[resolution_numeric]],Sheet2!C:C,Sheet2!F:F)</f>
        <v>partial</v>
      </c>
      <c r="W66">
        <f>1</f>
        <v>1</v>
      </c>
      <c r="X66">
        <f>IF(ISBLANK(Table1[[#This Row],[nps_category]]),0,1)</f>
        <v>1</v>
      </c>
    </row>
    <row r="67" spans="1:24" hidden="1" x14ac:dyDescent="0.25">
      <c r="A67" t="s">
        <v>912</v>
      </c>
      <c r="B67" t="s">
        <v>913</v>
      </c>
      <c r="C67" s="1">
        <v>46141</v>
      </c>
      <c r="D67" t="s">
        <v>22</v>
      </c>
      <c r="E67" t="b">
        <v>0</v>
      </c>
      <c r="F67">
        <v>1</v>
      </c>
      <c r="G67" s="2">
        <v>0.93888888888888888</v>
      </c>
      <c r="H67" t="s">
        <v>914</v>
      </c>
      <c r="I67" t="s">
        <v>914</v>
      </c>
      <c r="J67" t="s">
        <v>22</v>
      </c>
      <c r="K67" t="b">
        <v>0</v>
      </c>
      <c r="L67" t="b">
        <v>0</v>
      </c>
      <c r="M67">
        <v>18.471883333333302</v>
      </c>
      <c r="N67">
        <v>5</v>
      </c>
      <c r="O67" t="s">
        <v>915</v>
      </c>
      <c r="P67">
        <v>0.43890000000000001</v>
      </c>
      <c r="Q67">
        <v>5</v>
      </c>
      <c r="R67">
        <v>10</v>
      </c>
      <c r="S67">
        <v>3</v>
      </c>
      <c r="T67" t="str">
        <f>_xlfn.XLOOKUP(Table1[[#This Row],[csat_score]],Sheet2!A:A,Sheet2!D:D)</f>
        <v>Alta</v>
      </c>
      <c r="U67" t="str">
        <f>_xlfn.XLOOKUP(Table1[[#This Row],[nps_score]],Sheet2!B:B,Sheet2!E:E)</f>
        <v>promoter</v>
      </c>
      <c r="V67" t="str">
        <f>_xlfn.XLOOKUP(Table1[[#This Row],[resolution_numeric]],Sheet2!C:C,Sheet2!F:F)</f>
        <v>yes</v>
      </c>
      <c r="W67">
        <f>1</f>
        <v>1</v>
      </c>
      <c r="X67">
        <f>IF(ISBLANK(Table1[[#This Row],[nps_category]]),0,1)</f>
        <v>1</v>
      </c>
    </row>
    <row r="68" spans="1:24" hidden="1" x14ac:dyDescent="0.25">
      <c r="A68" t="s">
        <v>919</v>
      </c>
      <c r="B68" t="s">
        <v>146</v>
      </c>
      <c r="C68" s="1">
        <v>46141</v>
      </c>
      <c r="D68" t="s">
        <v>45</v>
      </c>
      <c r="E68" t="b">
        <v>1</v>
      </c>
      <c r="F68">
        <v>1</v>
      </c>
      <c r="G68" s="2">
        <v>0.81319444444444444</v>
      </c>
      <c r="H68" t="s">
        <v>920</v>
      </c>
      <c r="I68" t="s">
        <v>920</v>
      </c>
      <c r="J68" t="s">
        <v>45</v>
      </c>
      <c r="K68" t="b">
        <v>1</v>
      </c>
      <c r="L68" t="b">
        <v>0</v>
      </c>
      <c r="M68">
        <v>12.544700000000001</v>
      </c>
      <c r="N68">
        <v>5</v>
      </c>
      <c r="O68" t="s">
        <v>921</v>
      </c>
      <c r="P68">
        <v>0.28170000000000001</v>
      </c>
      <c r="Q68">
        <v>5</v>
      </c>
      <c r="R68">
        <v>10</v>
      </c>
      <c r="S68">
        <v>3</v>
      </c>
      <c r="T68" t="str">
        <f>_xlfn.XLOOKUP(Table1[[#This Row],[csat_score]],Sheet2!A:A,Sheet2!D:D)</f>
        <v>Alta</v>
      </c>
      <c r="U68" t="str">
        <f>_xlfn.XLOOKUP(Table1[[#This Row],[nps_score]],Sheet2!B:B,Sheet2!E:E)</f>
        <v>promoter</v>
      </c>
      <c r="V68" t="str">
        <f>_xlfn.XLOOKUP(Table1[[#This Row],[resolution_numeric]],Sheet2!C:C,Sheet2!F:F)</f>
        <v>yes</v>
      </c>
      <c r="W68">
        <f>1</f>
        <v>1</v>
      </c>
      <c r="X68">
        <f>IF(ISBLANK(Table1[[#This Row],[nps_category]]),0,1)</f>
        <v>1</v>
      </c>
    </row>
    <row r="69" spans="1:24" hidden="1" x14ac:dyDescent="0.25">
      <c r="A69" t="s">
        <v>227</v>
      </c>
      <c r="B69" t="s">
        <v>72</v>
      </c>
      <c r="C69" s="1">
        <v>46138</v>
      </c>
      <c r="D69" t="s">
        <v>45</v>
      </c>
      <c r="E69" t="b">
        <v>1</v>
      </c>
      <c r="F69">
        <v>2</v>
      </c>
      <c r="G69" s="2">
        <v>0.99097222222222225</v>
      </c>
      <c r="H69" t="s">
        <v>230</v>
      </c>
      <c r="I69" t="s">
        <v>230</v>
      </c>
      <c r="J69" t="s">
        <v>45</v>
      </c>
      <c r="K69" t="b">
        <v>1</v>
      </c>
      <c r="L69" t="b">
        <v>0</v>
      </c>
      <c r="M69">
        <v>10.0807</v>
      </c>
      <c r="N69">
        <v>5</v>
      </c>
      <c r="O69" t="s">
        <v>120</v>
      </c>
      <c r="P69">
        <v>0.27979999999999999</v>
      </c>
      <c r="Q69">
        <v>5</v>
      </c>
      <c r="R69">
        <v>10</v>
      </c>
      <c r="S69">
        <v>3</v>
      </c>
      <c r="T69" t="str">
        <f>_xlfn.XLOOKUP(Table1[[#This Row],[csat_score]],Sheet2!A:A,Sheet2!D:D)</f>
        <v>Alta</v>
      </c>
      <c r="U69" t="str">
        <f>_xlfn.XLOOKUP(Table1[[#This Row],[nps_score]],Sheet2!B:B,Sheet2!E:E)</f>
        <v>promoter</v>
      </c>
      <c r="V69" t="str">
        <f>_xlfn.XLOOKUP(Table1[[#This Row],[resolution_numeric]],Sheet2!C:C,Sheet2!F:F)</f>
        <v>yes</v>
      </c>
      <c r="W69">
        <f>1</f>
        <v>1</v>
      </c>
      <c r="X69">
        <f>IF(ISBLANK(Table1[[#This Row],[nps_category]]),0,1)</f>
        <v>1</v>
      </c>
    </row>
    <row r="70" spans="1:24" x14ac:dyDescent="0.25">
      <c r="A70" t="s">
        <v>231</v>
      </c>
      <c r="B70" t="s">
        <v>232</v>
      </c>
      <c r="C70" s="1">
        <v>46144</v>
      </c>
      <c r="D70" t="s">
        <v>45</v>
      </c>
      <c r="E70" t="b">
        <v>1</v>
      </c>
      <c r="F70">
        <v>1</v>
      </c>
      <c r="G70" s="2">
        <v>0.12222222222222222</v>
      </c>
      <c r="H70" t="s">
        <v>233</v>
      </c>
      <c r="I70" t="s">
        <v>233</v>
      </c>
      <c r="J70" t="s">
        <v>45</v>
      </c>
      <c r="K70" t="b">
        <v>1</v>
      </c>
      <c r="L70" t="b">
        <v>0</v>
      </c>
      <c r="M70">
        <v>5.32404999999999</v>
      </c>
      <c r="N70">
        <v>5</v>
      </c>
      <c r="O70" t="s">
        <v>234</v>
      </c>
      <c r="P70">
        <v>0.35830000000000001</v>
      </c>
      <c r="Q70">
        <f>_xlfn.XLOOKUP(Table1[[#This Row],[session_id]],[1]chats_with_feedback!$A:$A,[1]chats_with_feedback!$F:$F)</f>
        <v>3</v>
      </c>
      <c r="R70">
        <f>_xlfn.XLOOKUP(Table1[[#This Row],[session_id]],[1]chats_with_feedback!$A:$A,[1]chats_with_feedback!$G:$G)</f>
        <v>7</v>
      </c>
      <c r="S70">
        <f>_xlfn.XLOOKUP(Table1[[#This Row],[session_id]],[1]chats_with_feedback!$A:$A,[1]chats_with_feedback!$J:$J)</f>
        <v>2</v>
      </c>
      <c r="T70" t="str">
        <f>_xlfn.XLOOKUP(Table1[[#This Row],[csat_score]],Sheet2!A:A,Sheet2!D:D)</f>
        <v>Media</v>
      </c>
      <c r="U70" t="str">
        <f>_xlfn.XLOOKUP(Table1[[#This Row],[nps_score]],Sheet2!B:B,Sheet2!E:E)</f>
        <v>passive</v>
      </c>
      <c r="V70" t="str">
        <f>_xlfn.XLOOKUP(Table1[[#This Row],[resolution_numeric]],Sheet2!C:C,Sheet2!F:F)</f>
        <v>partial</v>
      </c>
      <c r="W70">
        <f>1</f>
        <v>1</v>
      </c>
      <c r="X70">
        <f>IF(ISBLANK(Table1[[#This Row],[nps_category]]),0,1)</f>
        <v>1</v>
      </c>
    </row>
    <row r="71" spans="1:24" x14ac:dyDescent="0.25">
      <c r="A71" t="s">
        <v>336</v>
      </c>
      <c r="B71" t="s">
        <v>337</v>
      </c>
      <c r="C71" s="1">
        <v>46134</v>
      </c>
      <c r="D71" t="s">
        <v>45</v>
      </c>
      <c r="E71" t="b">
        <v>1</v>
      </c>
      <c r="F71">
        <v>1</v>
      </c>
      <c r="G71" s="2">
        <v>7.7083333333333337E-2</v>
      </c>
      <c r="H71" t="s">
        <v>338</v>
      </c>
      <c r="I71" t="s">
        <v>338</v>
      </c>
      <c r="J71" t="s">
        <v>45</v>
      </c>
      <c r="K71" t="b">
        <v>1</v>
      </c>
      <c r="L71" t="b">
        <v>0</v>
      </c>
      <c r="M71">
        <v>19.927133333333302</v>
      </c>
      <c r="N71">
        <v>5</v>
      </c>
      <c r="O71" t="s">
        <v>339</v>
      </c>
      <c r="P71">
        <v>0.34110000000000001</v>
      </c>
      <c r="Q71">
        <f>_xlfn.XLOOKUP(Table1[[#This Row],[session_id]],[1]chats_with_feedback!$A:$A,[1]chats_with_feedback!$F:$F)</f>
        <v>2</v>
      </c>
      <c r="R71">
        <f>_xlfn.XLOOKUP(Table1[[#This Row],[session_id]],[1]chats_with_feedback!$A:$A,[1]chats_with_feedback!$G:$G)</f>
        <v>3</v>
      </c>
      <c r="S71">
        <f>_xlfn.XLOOKUP(Table1[[#This Row],[session_id]],[1]chats_with_feedback!$A:$A,[1]chats_with_feedback!$J:$J)</f>
        <v>1</v>
      </c>
      <c r="T71" t="str">
        <f>_xlfn.XLOOKUP(Table1[[#This Row],[csat_score]],Sheet2!A:A,Sheet2!D:D)</f>
        <v>Baja</v>
      </c>
      <c r="U71" t="str">
        <f>_xlfn.XLOOKUP(Table1[[#This Row],[nps_score]],Sheet2!B:B,Sheet2!E:E)</f>
        <v>detractor</v>
      </c>
      <c r="V71" t="str">
        <f>_xlfn.XLOOKUP(Table1[[#This Row],[resolution_numeric]],Sheet2!C:C,Sheet2!F:F)</f>
        <v>no</v>
      </c>
      <c r="W71">
        <f>1</f>
        <v>1</v>
      </c>
      <c r="X71">
        <f>IF(ISBLANK(Table1[[#This Row],[nps_category]]),0,1)</f>
        <v>1</v>
      </c>
    </row>
    <row r="72" spans="1:24" x14ac:dyDescent="0.25">
      <c r="A72" t="s">
        <v>468</v>
      </c>
      <c r="B72" t="s">
        <v>469</v>
      </c>
      <c r="C72" s="1">
        <v>46144</v>
      </c>
      <c r="D72" t="s">
        <v>45</v>
      </c>
      <c r="E72" t="b">
        <v>1</v>
      </c>
      <c r="F72">
        <v>1</v>
      </c>
      <c r="G72" s="2">
        <v>0.17222222222222222</v>
      </c>
      <c r="H72" t="s">
        <v>470</v>
      </c>
      <c r="I72" t="s">
        <v>470</v>
      </c>
      <c r="J72" t="s">
        <v>45</v>
      </c>
      <c r="K72" t="b">
        <v>1</v>
      </c>
      <c r="L72" t="b">
        <v>0</v>
      </c>
      <c r="M72">
        <v>5.1686666666666605</v>
      </c>
      <c r="N72">
        <v>5</v>
      </c>
      <c r="O72" t="s">
        <v>471</v>
      </c>
      <c r="P72">
        <v>0.38869999999999999</v>
      </c>
      <c r="Q72">
        <f>_xlfn.XLOOKUP(Table1[[#This Row],[session_id]],[1]chats_with_feedback!$A:$A,[1]chats_with_feedback!$F:$F)</f>
        <v>3</v>
      </c>
      <c r="R72">
        <f>_xlfn.XLOOKUP(Table1[[#This Row],[session_id]],[1]chats_with_feedback!$A:$A,[1]chats_with_feedback!$G:$G)</f>
        <v>7</v>
      </c>
      <c r="S72">
        <f>_xlfn.XLOOKUP(Table1[[#This Row],[session_id]],[1]chats_with_feedback!$A:$A,[1]chats_with_feedback!$J:$J)</f>
        <v>2</v>
      </c>
      <c r="T72" t="str">
        <f>_xlfn.XLOOKUP(Table1[[#This Row],[csat_score]],Sheet2!A:A,Sheet2!D:D)</f>
        <v>Media</v>
      </c>
      <c r="U72" t="str">
        <f>_xlfn.XLOOKUP(Table1[[#This Row],[nps_score]],Sheet2!B:B,Sheet2!E:E)</f>
        <v>passive</v>
      </c>
      <c r="V72" t="str">
        <f>_xlfn.XLOOKUP(Table1[[#This Row],[resolution_numeric]],Sheet2!C:C,Sheet2!F:F)</f>
        <v>partial</v>
      </c>
      <c r="W72">
        <f>1</f>
        <v>1</v>
      </c>
      <c r="X72">
        <f>IF(ISBLANK(Table1[[#This Row],[nps_category]]),0,1)</f>
        <v>1</v>
      </c>
    </row>
    <row r="73" spans="1:24" x14ac:dyDescent="0.25">
      <c r="A73" t="s">
        <v>865</v>
      </c>
      <c r="B73" t="s">
        <v>502</v>
      </c>
      <c r="C73" s="1">
        <v>46134</v>
      </c>
      <c r="D73" t="s">
        <v>22</v>
      </c>
      <c r="E73" t="b">
        <v>0</v>
      </c>
      <c r="F73">
        <v>1</v>
      </c>
      <c r="G73" s="2">
        <v>4.9305555555555554E-2</v>
      </c>
      <c r="H73" t="s">
        <v>866</v>
      </c>
      <c r="I73" t="s">
        <v>866</v>
      </c>
      <c r="J73" t="s">
        <v>22</v>
      </c>
      <c r="K73" t="b">
        <v>0</v>
      </c>
      <c r="L73" t="b">
        <v>0</v>
      </c>
      <c r="M73">
        <v>17.86815</v>
      </c>
      <c r="N73">
        <v>5</v>
      </c>
      <c r="O73" t="s">
        <v>867</v>
      </c>
      <c r="P73">
        <v>0.1681</v>
      </c>
      <c r="Q73">
        <f>_xlfn.XLOOKUP(Table1[[#This Row],[session_id]],[1]chats_with_feedback!$A:$A,[1]chats_with_feedback!$F:$F)</f>
        <v>2</v>
      </c>
      <c r="R73">
        <f>_xlfn.XLOOKUP(Table1[[#This Row],[session_id]],[1]chats_with_feedback!$A:$A,[1]chats_with_feedback!$G:$G)</f>
        <v>3</v>
      </c>
      <c r="S73">
        <f>_xlfn.XLOOKUP(Table1[[#This Row],[session_id]],[1]chats_with_feedback!$A:$A,[1]chats_with_feedback!$J:$J)</f>
        <v>1</v>
      </c>
      <c r="T73" t="str">
        <f>_xlfn.XLOOKUP(Table1[[#This Row],[csat_score]],Sheet2!A:A,Sheet2!D:D)</f>
        <v>Baja</v>
      </c>
      <c r="U73" t="str">
        <f>_xlfn.XLOOKUP(Table1[[#This Row],[nps_score]],Sheet2!B:B,Sheet2!E:E)</f>
        <v>detractor</v>
      </c>
      <c r="V73" t="str">
        <f>_xlfn.XLOOKUP(Table1[[#This Row],[resolution_numeric]],Sheet2!C:C,Sheet2!F:F)</f>
        <v>no</v>
      </c>
      <c r="W73">
        <f>1</f>
        <v>1</v>
      </c>
      <c r="X73">
        <f>IF(ISBLANK(Table1[[#This Row],[nps_category]]),0,1)</f>
        <v>1</v>
      </c>
    </row>
    <row r="74" spans="1:24" x14ac:dyDescent="0.25">
      <c r="A74" t="s">
        <v>138</v>
      </c>
      <c r="B74" t="s">
        <v>139</v>
      </c>
      <c r="C74" s="1">
        <v>46144</v>
      </c>
      <c r="D74" t="s">
        <v>22</v>
      </c>
      <c r="E74" t="b">
        <v>0</v>
      </c>
      <c r="F74">
        <v>1</v>
      </c>
      <c r="G74" s="2">
        <v>0.14583333333333334</v>
      </c>
      <c r="H74" t="s">
        <v>140</v>
      </c>
      <c r="I74" t="s">
        <v>140</v>
      </c>
      <c r="J74" t="s">
        <v>22</v>
      </c>
      <c r="K74" t="b">
        <v>0</v>
      </c>
      <c r="L74" t="b">
        <v>0</v>
      </c>
      <c r="M74">
        <v>3.8472999999999997</v>
      </c>
      <c r="N74">
        <v>5</v>
      </c>
      <c r="O74" t="s">
        <v>141</v>
      </c>
      <c r="P74">
        <v>0.43559999999999999</v>
      </c>
      <c r="Q74">
        <f>_xlfn.XLOOKUP(Table1[[#This Row],[session_id]],[1]chats_with_feedback!$A:$A,[1]chats_with_feedback!$F:$F)</f>
        <v>5</v>
      </c>
      <c r="R74">
        <f>_xlfn.XLOOKUP(Table1[[#This Row],[session_id]],[1]chats_with_feedback!$A:$A,[1]chats_with_feedback!$G:$G)</f>
        <v>10</v>
      </c>
      <c r="S74">
        <f>_xlfn.XLOOKUP(Table1[[#This Row],[session_id]],[1]chats_with_feedback!$A:$A,[1]chats_with_feedback!$J:$J)</f>
        <v>3</v>
      </c>
      <c r="T74" t="str">
        <f>_xlfn.XLOOKUP(Table1[[#This Row],[csat_score]],Sheet2!A:A,Sheet2!D:D)</f>
        <v>Alta</v>
      </c>
      <c r="U74" t="str">
        <f>_xlfn.XLOOKUP(Table1[[#This Row],[nps_score]],Sheet2!B:B,Sheet2!E:E)</f>
        <v>promoter</v>
      </c>
      <c r="V74" t="str">
        <f>_xlfn.XLOOKUP(Table1[[#This Row],[resolution_numeric]],Sheet2!C:C,Sheet2!F:F)</f>
        <v>yes</v>
      </c>
      <c r="W74">
        <f>1</f>
        <v>1</v>
      </c>
      <c r="X74">
        <f>IF(ISBLANK(Table1[[#This Row],[nps_category]]),0,1)</f>
        <v>1</v>
      </c>
    </row>
    <row r="75" spans="1:24" x14ac:dyDescent="0.25">
      <c r="A75" t="s">
        <v>1063</v>
      </c>
      <c r="B75" t="s">
        <v>568</v>
      </c>
      <c r="C75" s="1">
        <v>46134</v>
      </c>
      <c r="D75" t="s">
        <v>45</v>
      </c>
      <c r="E75" t="b">
        <v>1</v>
      </c>
      <c r="F75">
        <v>1</v>
      </c>
      <c r="G75" s="2">
        <v>5.486111111111111E-2</v>
      </c>
      <c r="H75" t="s">
        <v>1064</v>
      </c>
      <c r="I75" t="s">
        <v>1064</v>
      </c>
      <c r="J75" t="s">
        <v>45</v>
      </c>
      <c r="K75" t="b">
        <v>1</v>
      </c>
      <c r="L75" t="b">
        <v>0</v>
      </c>
      <c r="M75">
        <v>20.1220833333333</v>
      </c>
      <c r="N75">
        <v>5</v>
      </c>
      <c r="O75" t="s">
        <v>1065</v>
      </c>
      <c r="P75">
        <v>0.19109999999999999</v>
      </c>
      <c r="Q75">
        <f>_xlfn.XLOOKUP(Table1[[#This Row],[session_id]],[1]chats_with_feedback!$A:$A,[1]chats_with_feedback!$F:$F)</f>
        <v>2</v>
      </c>
      <c r="R75">
        <f>_xlfn.XLOOKUP(Table1[[#This Row],[session_id]],[1]chats_with_feedback!$A:$A,[1]chats_with_feedback!$G:$G)</f>
        <v>3</v>
      </c>
      <c r="S75">
        <f>_xlfn.XLOOKUP(Table1[[#This Row],[session_id]],[1]chats_with_feedback!$A:$A,[1]chats_with_feedback!$J:$J)</f>
        <v>1</v>
      </c>
      <c r="T75" t="str">
        <f>_xlfn.XLOOKUP(Table1[[#This Row],[csat_score]],Sheet2!A:A,Sheet2!D:D)</f>
        <v>Baja</v>
      </c>
      <c r="U75" t="str">
        <f>_xlfn.XLOOKUP(Table1[[#This Row],[nps_score]],Sheet2!B:B,Sheet2!E:E)</f>
        <v>detractor</v>
      </c>
      <c r="V75" t="str">
        <f>_xlfn.XLOOKUP(Table1[[#This Row],[resolution_numeric]],Sheet2!C:C,Sheet2!F:F)</f>
        <v>no</v>
      </c>
      <c r="W75">
        <f>1</f>
        <v>1</v>
      </c>
      <c r="X75">
        <f>IF(ISBLANK(Table1[[#This Row],[nps_category]]),0,1)</f>
        <v>1</v>
      </c>
    </row>
    <row r="76" spans="1:24" x14ac:dyDescent="0.25">
      <c r="A76" t="s">
        <v>1063</v>
      </c>
      <c r="B76" t="s">
        <v>568</v>
      </c>
      <c r="C76" s="1">
        <v>46134</v>
      </c>
      <c r="D76" t="s">
        <v>45</v>
      </c>
      <c r="E76" t="b">
        <v>1</v>
      </c>
      <c r="F76">
        <v>2</v>
      </c>
      <c r="G76" s="2">
        <v>9.0972222222222218E-2</v>
      </c>
      <c r="H76" t="s">
        <v>1066</v>
      </c>
      <c r="I76" t="s">
        <v>1066</v>
      </c>
      <c r="J76" t="s">
        <v>45</v>
      </c>
      <c r="K76" t="b">
        <v>1</v>
      </c>
      <c r="L76" t="b">
        <v>0</v>
      </c>
      <c r="M76">
        <v>31.171683333333302</v>
      </c>
      <c r="N76">
        <v>5</v>
      </c>
      <c r="O76" t="s">
        <v>1067</v>
      </c>
      <c r="P76">
        <v>0.2409</v>
      </c>
      <c r="Q76">
        <f>_xlfn.XLOOKUP(Table1[[#This Row],[session_id]],[1]chats_with_feedback!$A:$A,[1]chats_with_feedback!$F:$F)</f>
        <v>2</v>
      </c>
      <c r="R76">
        <f>_xlfn.XLOOKUP(Table1[[#This Row],[session_id]],[1]chats_with_feedback!$A:$A,[1]chats_with_feedback!$G:$G)</f>
        <v>3</v>
      </c>
      <c r="S76">
        <f>_xlfn.XLOOKUP(Table1[[#This Row],[session_id]],[1]chats_with_feedback!$A:$A,[1]chats_with_feedback!$J:$J)</f>
        <v>1</v>
      </c>
      <c r="T76" t="str">
        <f>_xlfn.XLOOKUP(Table1[[#This Row],[csat_score]],Sheet2!A:A,Sheet2!D:D)</f>
        <v>Baja</v>
      </c>
      <c r="U76" t="str">
        <f>_xlfn.XLOOKUP(Table1[[#This Row],[nps_score]],Sheet2!B:B,Sheet2!E:E)</f>
        <v>detractor</v>
      </c>
      <c r="V76" t="str">
        <f>_xlfn.XLOOKUP(Table1[[#This Row],[resolution_numeric]],Sheet2!C:C,Sheet2!F:F)</f>
        <v>no</v>
      </c>
      <c r="W76">
        <f>1</f>
        <v>1</v>
      </c>
      <c r="X76">
        <f>IF(ISBLANK(Table1[[#This Row],[nps_category]]),0,1)</f>
        <v>1</v>
      </c>
    </row>
    <row r="77" spans="1:24" x14ac:dyDescent="0.25">
      <c r="A77" t="s">
        <v>1097</v>
      </c>
      <c r="B77" t="s">
        <v>1098</v>
      </c>
      <c r="C77" s="1">
        <v>46144</v>
      </c>
      <c r="D77" t="s">
        <v>22</v>
      </c>
      <c r="E77" t="b">
        <v>0</v>
      </c>
      <c r="F77">
        <v>1</v>
      </c>
      <c r="G77" s="2">
        <v>0.18611111111111112</v>
      </c>
      <c r="H77" t="s">
        <v>132</v>
      </c>
      <c r="I77" t="s">
        <v>132</v>
      </c>
      <c r="J77" t="s">
        <v>22</v>
      </c>
      <c r="K77" t="b">
        <v>0</v>
      </c>
      <c r="L77" t="b">
        <v>0</v>
      </c>
      <c r="M77">
        <v>4.13073333333333</v>
      </c>
      <c r="N77">
        <v>5</v>
      </c>
      <c r="O77" t="s">
        <v>133</v>
      </c>
      <c r="P77">
        <v>0.34489999999999998</v>
      </c>
      <c r="Q77">
        <f>_xlfn.XLOOKUP(Table1[[#This Row],[session_id]],[1]chats_with_feedback!$A:$A,[1]chats_with_feedback!$F:$F)</f>
        <v>3</v>
      </c>
      <c r="R77">
        <f>_xlfn.XLOOKUP(Table1[[#This Row],[session_id]],[1]chats_with_feedback!$A:$A,[1]chats_with_feedback!$G:$G)</f>
        <v>7</v>
      </c>
      <c r="S77">
        <f>_xlfn.XLOOKUP(Table1[[#This Row],[session_id]],[1]chats_with_feedback!$A:$A,[1]chats_with_feedback!$J:$J)</f>
        <v>2</v>
      </c>
      <c r="T77" t="str">
        <f>_xlfn.XLOOKUP(Table1[[#This Row],[csat_score]],Sheet2!A:A,Sheet2!D:D)</f>
        <v>Media</v>
      </c>
      <c r="U77" t="str">
        <f>_xlfn.XLOOKUP(Table1[[#This Row],[nps_score]],Sheet2!B:B,Sheet2!E:E)</f>
        <v>passive</v>
      </c>
      <c r="V77" t="str">
        <f>_xlfn.XLOOKUP(Table1[[#This Row],[resolution_numeric]],Sheet2!C:C,Sheet2!F:F)</f>
        <v>partial</v>
      </c>
      <c r="W77">
        <f>1</f>
        <v>1</v>
      </c>
      <c r="X77">
        <f>IF(ISBLANK(Table1[[#This Row],[nps_category]]),0,1)</f>
        <v>1</v>
      </c>
    </row>
    <row r="78" spans="1:24" x14ac:dyDescent="0.25">
      <c r="A78" t="s">
        <v>886</v>
      </c>
      <c r="B78" t="s">
        <v>887</v>
      </c>
      <c r="C78" s="1">
        <v>46144</v>
      </c>
      <c r="D78" t="s">
        <v>45</v>
      </c>
      <c r="E78" t="b">
        <v>1</v>
      </c>
      <c r="F78">
        <v>1</v>
      </c>
      <c r="G78" s="2">
        <v>0.11180555555555556</v>
      </c>
      <c r="H78" t="s">
        <v>340</v>
      </c>
      <c r="I78" t="s">
        <v>340</v>
      </c>
      <c r="J78" t="s">
        <v>45</v>
      </c>
      <c r="K78" t="b">
        <v>1</v>
      </c>
      <c r="L78" t="b">
        <v>0</v>
      </c>
      <c r="M78">
        <v>4.4047000000000001</v>
      </c>
      <c r="N78">
        <v>5</v>
      </c>
      <c r="O78" t="s">
        <v>180</v>
      </c>
      <c r="P78">
        <v>0.1736</v>
      </c>
      <c r="Q78">
        <f>_xlfn.XLOOKUP(Table1[[#This Row],[session_id]],[1]chats_with_feedback!$A:$A,[1]chats_with_feedback!$F:$F)</f>
        <v>2</v>
      </c>
      <c r="R78">
        <f>_xlfn.XLOOKUP(Table1[[#This Row],[session_id]],[1]chats_with_feedback!$A:$A,[1]chats_with_feedback!$G:$G)</f>
        <v>3</v>
      </c>
      <c r="S78">
        <f>_xlfn.XLOOKUP(Table1[[#This Row],[session_id]],[1]chats_with_feedback!$A:$A,[1]chats_with_feedback!$J:$J)</f>
        <v>1</v>
      </c>
      <c r="T78" t="str">
        <f>_xlfn.XLOOKUP(Table1[[#This Row],[csat_score]],Sheet2!A:A,Sheet2!D:D)</f>
        <v>Baja</v>
      </c>
      <c r="U78" t="str">
        <f>_xlfn.XLOOKUP(Table1[[#This Row],[nps_score]],Sheet2!B:B,Sheet2!E:E)</f>
        <v>detractor</v>
      </c>
      <c r="V78" t="str">
        <f>_xlfn.XLOOKUP(Table1[[#This Row],[resolution_numeric]],Sheet2!C:C,Sheet2!F:F)</f>
        <v>no</v>
      </c>
      <c r="W78">
        <f>1</f>
        <v>1</v>
      </c>
      <c r="X78">
        <f>IF(ISBLANK(Table1[[#This Row],[nps_category]]),0,1)</f>
        <v>1</v>
      </c>
    </row>
    <row r="79" spans="1:24" x14ac:dyDescent="0.25">
      <c r="A79" t="s">
        <v>345</v>
      </c>
      <c r="B79" t="s">
        <v>346</v>
      </c>
      <c r="C79" s="1">
        <v>46144</v>
      </c>
      <c r="D79" t="s">
        <v>45</v>
      </c>
      <c r="E79" t="b">
        <v>1</v>
      </c>
      <c r="F79">
        <v>1</v>
      </c>
      <c r="G79" s="2">
        <v>0.18124999999999999</v>
      </c>
      <c r="H79" t="s">
        <v>347</v>
      </c>
      <c r="I79" t="s">
        <v>347</v>
      </c>
      <c r="J79" t="s">
        <v>45</v>
      </c>
      <c r="K79" t="b">
        <v>1</v>
      </c>
      <c r="L79" t="b">
        <v>0</v>
      </c>
      <c r="M79">
        <v>3.8663999999999996</v>
      </c>
      <c r="N79">
        <v>5</v>
      </c>
      <c r="O79" t="s">
        <v>120</v>
      </c>
      <c r="P79">
        <v>0.29070000000000001</v>
      </c>
      <c r="Q79">
        <f>_xlfn.XLOOKUP(Table1[[#This Row],[session_id]],[1]chats_with_feedback!$A:$A,[1]chats_with_feedback!$F:$F)</f>
        <v>3</v>
      </c>
      <c r="R79">
        <f>_xlfn.XLOOKUP(Table1[[#This Row],[session_id]],[1]chats_with_feedback!$A:$A,[1]chats_with_feedback!$G:$G)</f>
        <v>7</v>
      </c>
      <c r="S79">
        <f>_xlfn.XLOOKUP(Table1[[#This Row],[session_id]],[1]chats_with_feedback!$A:$A,[1]chats_with_feedback!$J:$J)</f>
        <v>2</v>
      </c>
      <c r="T79" t="str">
        <f>_xlfn.XLOOKUP(Table1[[#This Row],[csat_score]],Sheet2!A:A,Sheet2!D:D)</f>
        <v>Media</v>
      </c>
      <c r="U79" t="str">
        <f>_xlfn.XLOOKUP(Table1[[#This Row],[nps_score]],Sheet2!B:B,Sheet2!E:E)</f>
        <v>passive</v>
      </c>
      <c r="V79" t="str">
        <f>_xlfn.XLOOKUP(Table1[[#This Row],[resolution_numeric]],Sheet2!C:C,Sheet2!F:F)</f>
        <v>partial</v>
      </c>
      <c r="W79">
        <f>1</f>
        <v>1</v>
      </c>
      <c r="X79">
        <f>IF(ISBLANK(Table1[[#This Row],[nps_category]]),0,1)</f>
        <v>1</v>
      </c>
    </row>
    <row r="80" spans="1:24" x14ac:dyDescent="0.25">
      <c r="A80" t="s">
        <v>772</v>
      </c>
      <c r="B80" t="s">
        <v>773</v>
      </c>
      <c r="C80" s="1">
        <v>46138</v>
      </c>
      <c r="D80" t="s">
        <v>22</v>
      </c>
      <c r="E80" t="b">
        <v>0</v>
      </c>
      <c r="F80">
        <v>1</v>
      </c>
      <c r="G80" s="2">
        <v>0</v>
      </c>
      <c r="H80" t="s">
        <v>774</v>
      </c>
      <c r="I80" t="s">
        <v>774</v>
      </c>
      <c r="J80" t="s">
        <v>22</v>
      </c>
      <c r="K80" t="b">
        <v>0</v>
      </c>
      <c r="L80" t="b">
        <v>0</v>
      </c>
      <c r="M80">
        <v>2.8796999999999997</v>
      </c>
      <c r="N80">
        <v>5</v>
      </c>
      <c r="O80" t="s">
        <v>120</v>
      </c>
      <c r="P80">
        <v>0.2959</v>
      </c>
      <c r="Q80">
        <f>_xlfn.XLOOKUP(Table1[[#This Row],[session_id]],[1]chats_with_feedback!$A:$A,[1]chats_with_feedback!$F:$F)</f>
        <v>3</v>
      </c>
      <c r="R80">
        <f>_xlfn.XLOOKUP(Table1[[#This Row],[session_id]],[1]chats_with_feedback!$A:$A,[1]chats_with_feedback!$G:$G)</f>
        <v>7</v>
      </c>
      <c r="S80">
        <f>_xlfn.XLOOKUP(Table1[[#This Row],[session_id]],[1]chats_with_feedback!$A:$A,[1]chats_with_feedback!$J:$J)</f>
        <v>2</v>
      </c>
      <c r="T80" t="str">
        <f>_xlfn.XLOOKUP(Table1[[#This Row],[csat_score]],Sheet2!A:A,Sheet2!D:D)</f>
        <v>Media</v>
      </c>
      <c r="U80" t="str">
        <f>_xlfn.XLOOKUP(Table1[[#This Row],[nps_score]],Sheet2!B:B,Sheet2!E:E)</f>
        <v>passive</v>
      </c>
      <c r="V80" t="str">
        <f>_xlfn.XLOOKUP(Table1[[#This Row],[resolution_numeric]],Sheet2!C:C,Sheet2!F:F)</f>
        <v>partial</v>
      </c>
      <c r="W80">
        <f>1</f>
        <v>1</v>
      </c>
      <c r="X80">
        <f>IF(ISBLANK(Table1[[#This Row],[nps_category]]),0,1)</f>
        <v>1</v>
      </c>
    </row>
    <row r="81" spans="1:24" x14ac:dyDescent="0.25">
      <c r="A81" t="s">
        <v>772</v>
      </c>
      <c r="B81" t="s">
        <v>773</v>
      </c>
      <c r="C81" s="1">
        <v>46138</v>
      </c>
      <c r="D81" t="s">
        <v>22</v>
      </c>
      <c r="E81" t="b">
        <v>0</v>
      </c>
      <c r="F81">
        <v>2</v>
      </c>
      <c r="G81" s="2">
        <v>2.2916666666666665E-2</v>
      </c>
      <c r="H81" t="s">
        <v>775</v>
      </c>
      <c r="I81" t="s">
        <v>775</v>
      </c>
      <c r="J81" t="s">
        <v>22</v>
      </c>
      <c r="K81" t="b">
        <v>0</v>
      </c>
      <c r="L81" t="b">
        <v>0</v>
      </c>
      <c r="M81">
        <v>10.4774333333333</v>
      </c>
      <c r="N81">
        <v>5</v>
      </c>
      <c r="O81" t="s">
        <v>216</v>
      </c>
      <c r="P81">
        <v>0.31230000000000002</v>
      </c>
      <c r="Q81">
        <f>_xlfn.XLOOKUP(Table1[[#This Row],[session_id]],[1]chats_with_feedback!$A:$A,[1]chats_with_feedback!$F:$F)</f>
        <v>3</v>
      </c>
      <c r="R81">
        <f>_xlfn.XLOOKUP(Table1[[#This Row],[session_id]],[1]chats_with_feedback!$A:$A,[1]chats_with_feedback!$G:$G)</f>
        <v>7</v>
      </c>
      <c r="S81">
        <f>_xlfn.XLOOKUP(Table1[[#This Row],[session_id]],[1]chats_with_feedback!$A:$A,[1]chats_with_feedback!$J:$J)</f>
        <v>2</v>
      </c>
      <c r="T81" t="str">
        <f>_xlfn.XLOOKUP(Table1[[#This Row],[csat_score]],Sheet2!A:A,Sheet2!D:D)</f>
        <v>Media</v>
      </c>
      <c r="U81" t="str">
        <f>_xlfn.XLOOKUP(Table1[[#This Row],[nps_score]],Sheet2!B:B,Sheet2!E:E)</f>
        <v>passive</v>
      </c>
      <c r="V81" t="str">
        <f>_xlfn.XLOOKUP(Table1[[#This Row],[resolution_numeric]],Sheet2!C:C,Sheet2!F:F)</f>
        <v>partial</v>
      </c>
      <c r="W81">
        <f>1</f>
        <v>1</v>
      </c>
      <c r="X81">
        <f>IF(ISBLANK(Table1[[#This Row],[nps_category]]),0,1)</f>
        <v>1</v>
      </c>
    </row>
    <row r="82" spans="1:24" x14ac:dyDescent="0.25">
      <c r="A82" t="s">
        <v>910</v>
      </c>
      <c r="B82" t="s">
        <v>413</v>
      </c>
      <c r="C82" s="1">
        <v>46134</v>
      </c>
      <c r="D82" t="s">
        <v>22</v>
      </c>
      <c r="E82" t="b">
        <v>0</v>
      </c>
      <c r="F82">
        <v>1</v>
      </c>
      <c r="G82" s="2">
        <v>8.1944444444444445E-2</v>
      </c>
      <c r="H82" t="s">
        <v>414</v>
      </c>
      <c r="I82" t="s">
        <v>414</v>
      </c>
      <c r="J82" t="s">
        <v>22</v>
      </c>
      <c r="K82" t="b">
        <v>0</v>
      </c>
      <c r="L82" t="b">
        <v>0</v>
      </c>
      <c r="M82">
        <v>21.966199999999901</v>
      </c>
      <c r="N82">
        <v>5</v>
      </c>
      <c r="O82" t="s">
        <v>911</v>
      </c>
      <c r="P82">
        <v>0.20430000000000001</v>
      </c>
      <c r="Q82">
        <f>_xlfn.XLOOKUP(Table1[[#This Row],[session_id]],[1]chats_with_feedback!$A:$A,[1]chats_with_feedback!$F:$F)</f>
        <v>2</v>
      </c>
      <c r="R82">
        <f>_xlfn.XLOOKUP(Table1[[#This Row],[session_id]],[1]chats_with_feedback!$A:$A,[1]chats_with_feedback!$G:$G)</f>
        <v>3</v>
      </c>
      <c r="S82">
        <f>_xlfn.XLOOKUP(Table1[[#This Row],[session_id]],[1]chats_with_feedback!$A:$A,[1]chats_with_feedback!$J:$J)</f>
        <v>1</v>
      </c>
      <c r="T82" t="str">
        <f>_xlfn.XLOOKUP(Table1[[#This Row],[csat_score]],Sheet2!A:A,Sheet2!D:D)</f>
        <v>Baja</v>
      </c>
      <c r="U82" t="str">
        <f>_xlfn.XLOOKUP(Table1[[#This Row],[nps_score]],Sheet2!B:B,Sheet2!E:E)</f>
        <v>detractor</v>
      </c>
      <c r="V82" t="str">
        <f>_xlfn.XLOOKUP(Table1[[#This Row],[resolution_numeric]],Sheet2!C:C,Sheet2!F:F)</f>
        <v>no</v>
      </c>
      <c r="W82">
        <f>1</f>
        <v>1</v>
      </c>
      <c r="X82">
        <f>IF(ISBLANK(Table1[[#This Row],[nps_category]]),0,1)</f>
        <v>1</v>
      </c>
    </row>
    <row r="83" spans="1:24" x14ac:dyDescent="0.25">
      <c r="A83" t="s">
        <v>529</v>
      </c>
      <c r="B83" t="s">
        <v>530</v>
      </c>
      <c r="C83" s="1">
        <v>46144</v>
      </c>
      <c r="D83" t="s">
        <v>45</v>
      </c>
      <c r="E83" t="b">
        <v>1</v>
      </c>
      <c r="F83">
        <v>1</v>
      </c>
      <c r="G83" s="2">
        <v>0.15</v>
      </c>
      <c r="H83" t="s">
        <v>531</v>
      </c>
      <c r="I83" t="s">
        <v>531</v>
      </c>
      <c r="J83" t="s">
        <v>45</v>
      </c>
      <c r="K83" t="b">
        <v>1</v>
      </c>
      <c r="L83" t="b">
        <v>0</v>
      </c>
      <c r="M83">
        <v>4.0074999999999994</v>
      </c>
      <c r="N83">
        <v>5</v>
      </c>
      <c r="O83" t="s">
        <v>32</v>
      </c>
      <c r="P83">
        <v>0.2074</v>
      </c>
      <c r="Q83">
        <f>_xlfn.XLOOKUP(Table1[[#This Row],[session_id]],[1]chats_with_feedback!$A:$A,[1]chats_with_feedback!$F:$F)</f>
        <v>2</v>
      </c>
      <c r="R83">
        <f>_xlfn.XLOOKUP(Table1[[#This Row],[session_id]],[1]chats_with_feedback!$A:$A,[1]chats_with_feedback!$G:$G)</f>
        <v>3</v>
      </c>
      <c r="S83">
        <f>_xlfn.XLOOKUP(Table1[[#This Row],[session_id]],[1]chats_with_feedback!$A:$A,[1]chats_with_feedback!$J:$J)</f>
        <v>1</v>
      </c>
      <c r="T83" t="str">
        <f>_xlfn.XLOOKUP(Table1[[#This Row],[csat_score]],Sheet2!A:A,Sheet2!D:D)</f>
        <v>Baja</v>
      </c>
      <c r="U83" t="str">
        <f>_xlfn.XLOOKUP(Table1[[#This Row],[nps_score]],Sheet2!B:B,Sheet2!E:E)</f>
        <v>detractor</v>
      </c>
      <c r="V83" t="str">
        <f>_xlfn.XLOOKUP(Table1[[#This Row],[resolution_numeric]],Sheet2!C:C,Sheet2!F:F)</f>
        <v>no</v>
      </c>
      <c r="W83">
        <f>1</f>
        <v>1</v>
      </c>
      <c r="X83">
        <f>IF(ISBLANK(Table1[[#This Row],[nps_category]]),0,1)</f>
        <v>1</v>
      </c>
    </row>
    <row r="84" spans="1:24" x14ac:dyDescent="0.25">
      <c r="A84" t="s">
        <v>378</v>
      </c>
      <c r="B84" t="s">
        <v>379</v>
      </c>
      <c r="C84" s="1">
        <v>46144</v>
      </c>
      <c r="D84" t="s">
        <v>22</v>
      </c>
      <c r="E84" t="b">
        <v>0</v>
      </c>
      <c r="F84">
        <v>1</v>
      </c>
      <c r="G84" s="2">
        <v>0.11666666666666667</v>
      </c>
      <c r="H84" t="s">
        <v>380</v>
      </c>
      <c r="I84" t="s">
        <v>380</v>
      </c>
      <c r="J84" t="s">
        <v>22</v>
      </c>
      <c r="K84" t="b">
        <v>0</v>
      </c>
      <c r="L84" t="b">
        <v>0</v>
      </c>
      <c r="M84">
        <v>3.9207999999999901</v>
      </c>
      <c r="N84">
        <v>5</v>
      </c>
      <c r="O84" t="s">
        <v>381</v>
      </c>
      <c r="P84">
        <v>0.3931</v>
      </c>
      <c r="Q84">
        <f>_xlfn.XLOOKUP(Table1[[#This Row],[session_id]],[1]chats_with_feedback!$A:$A,[1]chats_with_feedback!$F:$F)</f>
        <v>3</v>
      </c>
      <c r="R84">
        <f>_xlfn.XLOOKUP(Table1[[#This Row],[session_id]],[1]chats_with_feedback!$A:$A,[1]chats_with_feedback!$G:$G)</f>
        <v>7</v>
      </c>
      <c r="S84">
        <f>_xlfn.XLOOKUP(Table1[[#This Row],[session_id]],[1]chats_with_feedback!$A:$A,[1]chats_with_feedback!$J:$J)</f>
        <v>2</v>
      </c>
      <c r="T84" t="str">
        <f>_xlfn.XLOOKUP(Table1[[#This Row],[csat_score]],Sheet2!A:A,Sheet2!D:D)</f>
        <v>Media</v>
      </c>
      <c r="U84" t="str">
        <f>_xlfn.XLOOKUP(Table1[[#This Row],[nps_score]],Sheet2!B:B,Sheet2!E:E)</f>
        <v>passive</v>
      </c>
      <c r="V84" t="str">
        <f>_xlfn.XLOOKUP(Table1[[#This Row],[resolution_numeric]],Sheet2!C:C,Sheet2!F:F)</f>
        <v>partial</v>
      </c>
      <c r="W84">
        <f>1</f>
        <v>1</v>
      </c>
      <c r="X84">
        <f>IF(ISBLANK(Table1[[#This Row],[nps_category]]),0,1)</f>
        <v>1</v>
      </c>
    </row>
    <row r="85" spans="1:24" x14ac:dyDescent="0.25">
      <c r="A85" t="s">
        <v>1032</v>
      </c>
      <c r="B85" t="s">
        <v>923</v>
      </c>
      <c r="C85" s="1">
        <v>46139</v>
      </c>
      <c r="D85" t="s">
        <v>22</v>
      </c>
      <c r="E85" t="b">
        <v>0</v>
      </c>
      <c r="F85">
        <v>1</v>
      </c>
      <c r="G85" s="2">
        <v>3.7499999999999999E-2</v>
      </c>
      <c r="H85" t="s">
        <v>1033</v>
      </c>
      <c r="I85" t="s">
        <v>1033</v>
      </c>
      <c r="J85" t="s">
        <v>22</v>
      </c>
      <c r="K85" t="b">
        <v>0</v>
      </c>
      <c r="L85" t="b">
        <v>0</v>
      </c>
      <c r="M85">
        <v>4.4292666666666598</v>
      </c>
      <c r="N85">
        <v>5</v>
      </c>
      <c r="O85" t="s">
        <v>63</v>
      </c>
      <c r="P85">
        <v>0.41589999999999999</v>
      </c>
      <c r="Q85">
        <f>_xlfn.XLOOKUP(Table1[[#This Row],[session_id]],[1]chats_with_feedback!$A:$A,[1]chats_with_feedback!$F:$F)</f>
        <v>3</v>
      </c>
      <c r="R85">
        <f>_xlfn.XLOOKUP(Table1[[#This Row],[session_id]],[1]chats_with_feedback!$A:$A,[1]chats_with_feedback!$G:$G)</f>
        <v>7</v>
      </c>
      <c r="S85">
        <f>_xlfn.XLOOKUP(Table1[[#This Row],[session_id]],[1]chats_with_feedback!$A:$A,[1]chats_with_feedback!$J:$J)</f>
        <v>2</v>
      </c>
      <c r="T85" t="str">
        <f>_xlfn.XLOOKUP(Table1[[#This Row],[csat_score]],Sheet2!A:A,Sheet2!D:D)</f>
        <v>Media</v>
      </c>
      <c r="U85" t="str">
        <f>_xlfn.XLOOKUP(Table1[[#This Row],[nps_score]],Sheet2!B:B,Sheet2!E:E)</f>
        <v>passive</v>
      </c>
      <c r="V85" t="str">
        <f>_xlfn.XLOOKUP(Table1[[#This Row],[resolution_numeric]],Sheet2!C:C,Sheet2!F:F)</f>
        <v>partial</v>
      </c>
      <c r="W85">
        <f>1</f>
        <v>1</v>
      </c>
      <c r="X85">
        <f>IF(ISBLANK(Table1[[#This Row],[nps_category]]),0,1)</f>
        <v>1</v>
      </c>
    </row>
    <row r="86" spans="1:24" x14ac:dyDescent="0.25">
      <c r="A86" t="s">
        <v>56</v>
      </c>
      <c r="B86" t="s">
        <v>57</v>
      </c>
      <c r="C86" s="1">
        <v>46141</v>
      </c>
      <c r="D86" t="s">
        <v>22</v>
      </c>
      <c r="E86" t="b">
        <v>0</v>
      </c>
      <c r="F86">
        <v>1</v>
      </c>
      <c r="G86" s="2">
        <v>0.89166666666666672</v>
      </c>
      <c r="H86" t="s">
        <v>58</v>
      </c>
      <c r="I86" t="s">
        <v>58</v>
      </c>
      <c r="J86" t="s">
        <v>22</v>
      </c>
      <c r="K86" t="b">
        <v>0</v>
      </c>
      <c r="L86" t="b">
        <v>0</v>
      </c>
      <c r="M86">
        <v>11.53875</v>
      </c>
      <c r="N86">
        <v>5</v>
      </c>
      <c r="O86" t="s">
        <v>59</v>
      </c>
      <c r="P86">
        <v>0.32879999999999998</v>
      </c>
      <c r="Q86">
        <f>_xlfn.XLOOKUP(Table1[[#This Row],[session_id]],[1]chats_with_feedback!$A:$A,[1]chats_with_feedback!$F:$F)</f>
        <v>3</v>
      </c>
      <c r="R86">
        <f>_xlfn.XLOOKUP(Table1[[#This Row],[session_id]],[1]chats_with_feedback!$A:$A,[1]chats_with_feedback!$G:$G)</f>
        <v>7</v>
      </c>
      <c r="S86">
        <f>_xlfn.XLOOKUP(Table1[[#This Row],[session_id]],[1]chats_with_feedback!$A:$A,[1]chats_with_feedback!$J:$J)</f>
        <v>2</v>
      </c>
      <c r="T86" t="str">
        <f>_xlfn.XLOOKUP(Table1[[#This Row],[csat_score]],Sheet2!A:A,Sheet2!D:D)</f>
        <v>Media</v>
      </c>
      <c r="U86" t="str">
        <f>_xlfn.XLOOKUP(Table1[[#This Row],[nps_score]],Sheet2!B:B,Sheet2!E:E)</f>
        <v>passive</v>
      </c>
      <c r="V86" t="str">
        <f>_xlfn.XLOOKUP(Table1[[#This Row],[resolution_numeric]],Sheet2!C:C,Sheet2!F:F)</f>
        <v>partial</v>
      </c>
      <c r="W86">
        <f>1</f>
        <v>1</v>
      </c>
      <c r="X86">
        <f>IF(ISBLANK(Table1[[#This Row],[nps_category]]),0,1)</f>
        <v>1</v>
      </c>
    </row>
    <row r="87" spans="1:24" x14ac:dyDescent="0.25">
      <c r="A87" t="s">
        <v>114</v>
      </c>
      <c r="B87" t="s">
        <v>115</v>
      </c>
      <c r="C87" s="1">
        <v>46141</v>
      </c>
      <c r="D87" t="s">
        <v>22</v>
      </c>
      <c r="E87" t="b">
        <v>0</v>
      </c>
      <c r="F87">
        <v>1</v>
      </c>
      <c r="G87" s="2">
        <v>0.96597222222222223</v>
      </c>
      <c r="H87" t="s">
        <v>116</v>
      </c>
      <c r="I87" t="s">
        <v>116</v>
      </c>
      <c r="J87" t="s">
        <v>22</v>
      </c>
      <c r="K87" t="b">
        <v>0</v>
      </c>
      <c r="L87" t="b">
        <v>0</v>
      </c>
      <c r="M87">
        <v>11.279216666666601</v>
      </c>
      <c r="N87">
        <v>5</v>
      </c>
      <c r="O87" t="s">
        <v>63</v>
      </c>
      <c r="P87">
        <v>0.23419999999999999</v>
      </c>
      <c r="Q87">
        <f>_xlfn.XLOOKUP(Table1[[#This Row],[session_id]],[1]chats_with_feedback!$A:$A,[1]chats_with_feedback!$F:$F)</f>
        <v>2</v>
      </c>
      <c r="R87">
        <f>_xlfn.XLOOKUP(Table1[[#This Row],[session_id]],[1]chats_with_feedback!$A:$A,[1]chats_with_feedback!$G:$G)</f>
        <v>3</v>
      </c>
      <c r="S87">
        <f>_xlfn.XLOOKUP(Table1[[#This Row],[session_id]],[1]chats_with_feedback!$A:$A,[1]chats_with_feedback!$J:$J)</f>
        <v>1</v>
      </c>
      <c r="T87" t="str">
        <f>_xlfn.XLOOKUP(Table1[[#This Row],[csat_score]],Sheet2!A:A,Sheet2!D:D)</f>
        <v>Baja</v>
      </c>
      <c r="U87" t="str">
        <f>_xlfn.XLOOKUP(Table1[[#This Row],[nps_score]],Sheet2!B:B,Sheet2!E:E)</f>
        <v>detractor</v>
      </c>
      <c r="V87" t="str">
        <f>_xlfn.XLOOKUP(Table1[[#This Row],[resolution_numeric]],Sheet2!C:C,Sheet2!F:F)</f>
        <v>no</v>
      </c>
      <c r="W87">
        <f>1</f>
        <v>1</v>
      </c>
      <c r="X87">
        <f>IF(ISBLANK(Table1[[#This Row],[nps_category]]),0,1)</f>
        <v>1</v>
      </c>
    </row>
    <row r="88" spans="1:24" x14ac:dyDescent="0.25">
      <c r="A88" t="s">
        <v>163</v>
      </c>
      <c r="B88" t="s">
        <v>164</v>
      </c>
      <c r="C88" s="1">
        <v>46141</v>
      </c>
      <c r="D88" t="s">
        <v>22</v>
      </c>
      <c r="E88" t="b">
        <v>0</v>
      </c>
      <c r="F88">
        <v>1</v>
      </c>
      <c r="G88" s="2">
        <v>0.9291666666666667</v>
      </c>
      <c r="H88" t="s">
        <v>165</v>
      </c>
      <c r="I88" t="s">
        <v>165</v>
      </c>
      <c r="J88" t="s">
        <v>22</v>
      </c>
      <c r="K88" t="b">
        <v>0</v>
      </c>
      <c r="L88" t="b">
        <v>0</v>
      </c>
      <c r="M88">
        <v>10.373850000000001</v>
      </c>
      <c r="N88">
        <v>5</v>
      </c>
      <c r="O88" t="s">
        <v>166</v>
      </c>
      <c r="P88">
        <v>0.2321</v>
      </c>
      <c r="Q88">
        <f>_xlfn.XLOOKUP(Table1[[#This Row],[session_id]],[1]chats_with_feedback!$A:$A,[1]chats_with_feedback!$F:$F)</f>
        <v>2</v>
      </c>
      <c r="R88">
        <f>_xlfn.XLOOKUP(Table1[[#This Row],[session_id]],[1]chats_with_feedback!$A:$A,[1]chats_with_feedback!$G:$G)</f>
        <v>3</v>
      </c>
      <c r="S88">
        <f>_xlfn.XLOOKUP(Table1[[#This Row],[session_id]],[1]chats_with_feedback!$A:$A,[1]chats_with_feedback!$J:$J)</f>
        <v>1</v>
      </c>
      <c r="T88" t="str">
        <f>_xlfn.XLOOKUP(Table1[[#This Row],[csat_score]],Sheet2!A:A,Sheet2!D:D)</f>
        <v>Baja</v>
      </c>
      <c r="U88" t="str">
        <f>_xlfn.XLOOKUP(Table1[[#This Row],[nps_score]],Sheet2!B:B,Sheet2!E:E)</f>
        <v>detractor</v>
      </c>
      <c r="V88" t="str">
        <f>_xlfn.XLOOKUP(Table1[[#This Row],[resolution_numeric]],Sheet2!C:C,Sheet2!F:F)</f>
        <v>no</v>
      </c>
      <c r="W88">
        <f>1</f>
        <v>1</v>
      </c>
      <c r="X88">
        <f>IF(ISBLANK(Table1[[#This Row],[nps_category]]),0,1)</f>
        <v>1</v>
      </c>
    </row>
    <row r="89" spans="1:24" x14ac:dyDescent="0.25">
      <c r="A89" t="s">
        <v>167</v>
      </c>
      <c r="B89" t="s">
        <v>168</v>
      </c>
      <c r="C89" s="1">
        <v>46141</v>
      </c>
      <c r="D89" t="s">
        <v>22</v>
      </c>
      <c r="E89" t="b">
        <v>0</v>
      </c>
      <c r="F89">
        <v>1</v>
      </c>
      <c r="G89" s="2">
        <v>0.84236111111111112</v>
      </c>
      <c r="H89" t="s">
        <v>169</v>
      </c>
      <c r="I89" t="s">
        <v>169</v>
      </c>
      <c r="J89" t="s">
        <v>22</v>
      </c>
      <c r="K89" t="b">
        <v>0</v>
      </c>
      <c r="L89" t="b">
        <v>0</v>
      </c>
      <c r="M89">
        <v>12.0814166666666</v>
      </c>
      <c r="N89">
        <v>5</v>
      </c>
      <c r="O89" t="s">
        <v>51</v>
      </c>
      <c r="P89">
        <v>0.45319999999999999</v>
      </c>
      <c r="Q89">
        <f>_xlfn.XLOOKUP(Table1[[#This Row],[session_id]],[1]chats_with_feedback!$A:$A,[1]chats_with_feedback!$F:$F)</f>
        <v>5</v>
      </c>
      <c r="R89">
        <f>_xlfn.XLOOKUP(Table1[[#This Row],[session_id]],[1]chats_with_feedback!$A:$A,[1]chats_with_feedback!$G:$G)</f>
        <v>10</v>
      </c>
      <c r="S89">
        <f>_xlfn.XLOOKUP(Table1[[#This Row],[session_id]],[1]chats_with_feedback!$A:$A,[1]chats_with_feedback!$J:$J)</f>
        <v>3</v>
      </c>
      <c r="T89" t="str">
        <f>_xlfn.XLOOKUP(Table1[[#This Row],[csat_score]],Sheet2!A:A,Sheet2!D:D)</f>
        <v>Alta</v>
      </c>
      <c r="U89" t="str">
        <f>_xlfn.XLOOKUP(Table1[[#This Row],[nps_score]],Sheet2!B:B,Sheet2!E:E)</f>
        <v>promoter</v>
      </c>
      <c r="V89" t="str">
        <f>_xlfn.XLOOKUP(Table1[[#This Row],[resolution_numeric]],Sheet2!C:C,Sheet2!F:F)</f>
        <v>yes</v>
      </c>
      <c r="W89">
        <f>1</f>
        <v>1</v>
      </c>
      <c r="X89">
        <f>IF(ISBLANK(Table1[[#This Row],[nps_category]]),0,1)</f>
        <v>1</v>
      </c>
    </row>
    <row r="90" spans="1:24" x14ac:dyDescent="0.25">
      <c r="A90" t="s">
        <v>286</v>
      </c>
      <c r="B90" t="s">
        <v>287</v>
      </c>
      <c r="C90" s="1">
        <v>46141</v>
      </c>
      <c r="D90" t="s">
        <v>45</v>
      </c>
      <c r="E90" t="b">
        <v>1</v>
      </c>
      <c r="F90">
        <v>1</v>
      </c>
      <c r="G90" s="2">
        <v>0.92013888888888884</v>
      </c>
      <c r="H90" t="s">
        <v>288</v>
      </c>
      <c r="I90" t="s">
        <v>288</v>
      </c>
      <c r="J90" t="s">
        <v>45</v>
      </c>
      <c r="K90" t="b">
        <v>1</v>
      </c>
      <c r="L90" t="b">
        <v>0</v>
      </c>
      <c r="M90">
        <v>13.92</v>
      </c>
      <c r="N90">
        <v>5</v>
      </c>
      <c r="O90" t="s">
        <v>32</v>
      </c>
      <c r="P90">
        <v>0.25890000000000002</v>
      </c>
      <c r="Q90">
        <f>_xlfn.XLOOKUP(Table1[[#This Row],[session_id]],[1]chats_with_feedback!$A:$A,[1]chats_with_feedback!$F:$F)</f>
        <v>2</v>
      </c>
      <c r="R90">
        <f>_xlfn.XLOOKUP(Table1[[#This Row],[session_id]],[1]chats_with_feedback!$A:$A,[1]chats_with_feedback!$G:$G)</f>
        <v>3</v>
      </c>
      <c r="S90">
        <f>_xlfn.XLOOKUP(Table1[[#This Row],[session_id]],[1]chats_with_feedback!$A:$A,[1]chats_with_feedback!$J:$J)</f>
        <v>1</v>
      </c>
      <c r="T90" t="str">
        <f>_xlfn.XLOOKUP(Table1[[#This Row],[csat_score]],Sheet2!A:A,Sheet2!D:D)</f>
        <v>Baja</v>
      </c>
      <c r="U90" t="str">
        <f>_xlfn.XLOOKUP(Table1[[#This Row],[nps_score]],Sheet2!B:B,Sheet2!E:E)</f>
        <v>detractor</v>
      </c>
      <c r="V90" t="str">
        <f>_xlfn.XLOOKUP(Table1[[#This Row],[resolution_numeric]],Sheet2!C:C,Sheet2!F:F)</f>
        <v>no</v>
      </c>
      <c r="W90">
        <f>1</f>
        <v>1</v>
      </c>
      <c r="X90">
        <f>IF(ISBLANK(Table1[[#This Row],[nps_category]]),0,1)</f>
        <v>1</v>
      </c>
    </row>
    <row r="91" spans="1:24" x14ac:dyDescent="0.25">
      <c r="A91" t="s">
        <v>388</v>
      </c>
      <c r="B91" t="s">
        <v>389</v>
      </c>
      <c r="C91" s="1">
        <v>46141</v>
      </c>
      <c r="D91" t="s">
        <v>22</v>
      </c>
      <c r="E91" t="b">
        <v>0</v>
      </c>
      <c r="F91">
        <v>1</v>
      </c>
      <c r="G91" s="2">
        <v>0.94930555555555551</v>
      </c>
      <c r="H91" t="s">
        <v>390</v>
      </c>
      <c r="I91" t="s">
        <v>390</v>
      </c>
      <c r="J91" t="s">
        <v>22</v>
      </c>
      <c r="K91" t="b">
        <v>0</v>
      </c>
      <c r="L91" t="b">
        <v>0</v>
      </c>
      <c r="M91">
        <v>9.2239333333333295</v>
      </c>
      <c r="N91">
        <v>5</v>
      </c>
      <c r="O91" t="s">
        <v>226</v>
      </c>
      <c r="P91">
        <v>0.24909999999999999</v>
      </c>
      <c r="Q91">
        <f>_xlfn.XLOOKUP(Table1[[#This Row],[session_id]],[1]chats_with_feedback!$A:$A,[1]chats_with_feedback!$F:$F)</f>
        <v>2</v>
      </c>
      <c r="R91">
        <f>_xlfn.XLOOKUP(Table1[[#This Row],[session_id]],[1]chats_with_feedback!$A:$A,[1]chats_with_feedback!$G:$G)</f>
        <v>3</v>
      </c>
      <c r="S91">
        <f>_xlfn.XLOOKUP(Table1[[#This Row],[session_id]],[1]chats_with_feedback!$A:$A,[1]chats_with_feedback!$J:$J)</f>
        <v>1</v>
      </c>
      <c r="T91" t="str">
        <f>_xlfn.XLOOKUP(Table1[[#This Row],[csat_score]],Sheet2!A:A,Sheet2!D:D)</f>
        <v>Baja</v>
      </c>
      <c r="U91" t="str">
        <f>_xlfn.XLOOKUP(Table1[[#This Row],[nps_score]],Sheet2!B:B,Sheet2!E:E)</f>
        <v>detractor</v>
      </c>
      <c r="V91" t="str">
        <f>_xlfn.XLOOKUP(Table1[[#This Row],[resolution_numeric]],Sheet2!C:C,Sheet2!F:F)</f>
        <v>no</v>
      </c>
      <c r="W91">
        <f>1</f>
        <v>1</v>
      </c>
      <c r="X91">
        <f>IF(ISBLANK(Table1[[#This Row],[nps_category]]),0,1)</f>
        <v>1</v>
      </c>
    </row>
    <row r="92" spans="1:24" x14ac:dyDescent="0.25">
      <c r="A92" t="s">
        <v>391</v>
      </c>
      <c r="B92" t="s">
        <v>392</v>
      </c>
      <c r="C92" s="1">
        <v>46144</v>
      </c>
      <c r="D92" t="s">
        <v>22</v>
      </c>
      <c r="E92" t="b">
        <v>0</v>
      </c>
      <c r="F92">
        <v>1</v>
      </c>
      <c r="G92" s="2">
        <v>0.16805555555555557</v>
      </c>
      <c r="H92" t="s">
        <v>393</v>
      </c>
      <c r="I92" t="s">
        <v>393</v>
      </c>
      <c r="J92" t="s">
        <v>22</v>
      </c>
      <c r="K92" t="b">
        <v>0</v>
      </c>
      <c r="L92" t="b">
        <v>0</v>
      </c>
      <c r="M92">
        <v>3.4765666666666606</v>
      </c>
      <c r="N92">
        <v>5</v>
      </c>
      <c r="O92" t="s">
        <v>394</v>
      </c>
      <c r="P92">
        <v>0.31140000000000001</v>
      </c>
      <c r="Q92">
        <f>_xlfn.XLOOKUP(Table1[[#This Row],[session_id]],[1]chats_with_feedback!$A:$A,[1]chats_with_feedback!$F:$F)</f>
        <v>3</v>
      </c>
      <c r="R92">
        <f>_xlfn.XLOOKUP(Table1[[#This Row],[session_id]],[1]chats_with_feedback!$A:$A,[1]chats_with_feedback!$G:$G)</f>
        <v>7</v>
      </c>
      <c r="S92">
        <f>_xlfn.XLOOKUP(Table1[[#This Row],[session_id]],[1]chats_with_feedback!$A:$A,[1]chats_with_feedback!$J:$J)</f>
        <v>2</v>
      </c>
      <c r="T92" t="str">
        <f>_xlfn.XLOOKUP(Table1[[#This Row],[csat_score]],Sheet2!A:A,Sheet2!D:D)</f>
        <v>Media</v>
      </c>
      <c r="U92" t="str">
        <f>_xlfn.XLOOKUP(Table1[[#This Row],[nps_score]],Sheet2!B:B,Sheet2!E:E)</f>
        <v>passive</v>
      </c>
      <c r="V92" t="str">
        <f>_xlfn.XLOOKUP(Table1[[#This Row],[resolution_numeric]],Sheet2!C:C,Sheet2!F:F)</f>
        <v>partial</v>
      </c>
      <c r="W92">
        <f>1</f>
        <v>1</v>
      </c>
      <c r="X92">
        <f>IF(ISBLANK(Table1[[#This Row],[nps_category]]),0,1)</f>
        <v>1</v>
      </c>
    </row>
    <row r="93" spans="1:24" x14ac:dyDescent="0.25">
      <c r="A93" t="s">
        <v>724</v>
      </c>
      <c r="B93" t="s">
        <v>725</v>
      </c>
      <c r="C93" s="1">
        <v>46141</v>
      </c>
      <c r="D93" t="s">
        <v>22</v>
      </c>
      <c r="E93" t="b">
        <v>0</v>
      </c>
      <c r="F93">
        <v>1</v>
      </c>
      <c r="G93" s="2">
        <v>0.81597222222222221</v>
      </c>
      <c r="H93" t="s">
        <v>726</v>
      </c>
      <c r="I93" t="s">
        <v>726</v>
      </c>
      <c r="J93" t="s">
        <v>22</v>
      </c>
      <c r="K93" t="b">
        <v>0</v>
      </c>
      <c r="L93" t="b">
        <v>0</v>
      </c>
      <c r="M93">
        <v>14.733483333333302</v>
      </c>
      <c r="N93">
        <v>5</v>
      </c>
      <c r="O93" t="s">
        <v>727</v>
      </c>
      <c r="P93">
        <v>0.26469999999999999</v>
      </c>
      <c r="Q93">
        <f>_xlfn.XLOOKUP(Table1[[#This Row],[session_id]],[1]chats_with_feedback!$A:$A,[1]chats_with_feedback!$F:$F)</f>
        <v>2</v>
      </c>
      <c r="R93">
        <f>_xlfn.XLOOKUP(Table1[[#This Row],[session_id]],[1]chats_with_feedback!$A:$A,[1]chats_with_feedback!$G:$G)</f>
        <v>3</v>
      </c>
      <c r="S93">
        <f>_xlfn.XLOOKUP(Table1[[#This Row],[session_id]],[1]chats_with_feedback!$A:$A,[1]chats_with_feedback!$J:$J)</f>
        <v>1</v>
      </c>
      <c r="T93" t="str">
        <f>_xlfn.XLOOKUP(Table1[[#This Row],[csat_score]],Sheet2!A:A,Sheet2!D:D)</f>
        <v>Baja</v>
      </c>
      <c r="U93" t="str">
        <f>_xlfn.XLOOKUP(Table1[[#This Row],[nps_score]],Sheet2!B:B,Sheet2!E:E)</f>
        <v>detractor</v>
      </c>
      <c r="V93" t="str">
        <f>_xlfn.XLOOKUP(Table1[[#This Row],[resolution_numeric]],Sheet2!C:C,Sheet2!F:F)</f>
        <v>no</v>
      </c>
      <c r="W93">
        <f>1</f>
        <v>1</v>
      </c>
      <c r="X93">
        <f>IF(ISBLANK(Table1[[#This Row],[nps_category]]),0,1)</f>
        <v>1</v>
      </c>
    </row>
    <row r="94" spans="1:24" x14ac:dyDescent="0.25">
      <c r="A94" t="s">
        <v>879</v>
      </c>
      <c r="B94" t="s">
        <v>880</v>
      </c>
      <c r="C94" s="1">
        <v>46141</v>
      </c>
      <c r="D94" t="s">
        <v>45</v>
      </c>
      <c r="E94" t="b">
        <v>1</v>
      </c>
      <c r="F94">
        <v>1</v>
      </c>
      <c r="G94" s="2">
        <v>0.93472222222222223</v>
      </c>
      <c r="H94" t="s">
        <v>881</v>
      </c>
      <c r="I94" t="s">
        <v>881</v>
      </c>
      <c r="J94" t="s">
        <v>45</v>
      </c>
      <c r="K94" t="b">
        <v>1</v>
      </c>
      <c r="L94" t="b">
        <v>0</v>
      </c>
      <c r="M94">
        <v>16.208950000000002</v>
      </c>
      <c r="N94">
        <v>5</v>
      </c>
      <c r="O94" t="s">
        <v>882</v>
      </c>
      <c r="P94">
        <v>0.28799999999999998</v>
      </c>
      <c r="Q94">
        <f>_xlfn.XLOOKUP(Table1[[#This Row],[session_id]],[1]chats_with_feedback!$A:$A,[1]chats_with_feedback!$F:$F)</f>
        <v>2</v>
      </c>
      <c r="R94">
        <f>_xlfn.XLOOKUP(Table1[[#This Row],[session_id]],[1]chats_with_feedback!$A:$A,[1]chats_with_feedback!$G:$G)</f>
        <v>3</v>
      </c>
      <c r="S94">
        <f>_xlfn.XLOOKUP(Table1[[#This Row],[session_id]],[1]chats_with_feedback!$A:$A,[1]chats_with_feedback!$J:$J)</f>
        <v>1</v>
      </c>
      <c r="T94" t="str">
        <f>_xlfn.XLOOKUP(Table1[[#This Row],[csat_score]],Sheet2!A:A,Sheet2!D:D)</f>
        <v>Baja</v>
      </c>
      <c r="U94" t="str">
        <f>_xlfn.XLOOKUP(Table1[[#This Row],[nps_score]],Sheet2!B:B,Sheet2!E:E)</f>
        <v>detractor</v>
      </c>
      <c r="V94" t="str">
        <f>_xlfn.XLOOKUP(Table1[[#This Row],[resolution_numeric]],Sheet2!C:C,Sheet2!F:F)</f>
        <v>no</v>
      </c>
      <c r="W94">
        <f>1</f>
        <v>1</v>
      </c>
      <c r="X94">
        <f>IF(ISBLANK(Table1[[#This Row],[nps_category]]),0,1)</f>
        <v>1</v>
      </c>
    </row>
    <row r="95" spans="1:24" x14ac:dyDescent="0.25">
      <c r="A95" t="s">
        <v>426</v>
      </c>
      <c r="B95" t="s">
        <v>427</v>
      </c>
      <c r="C95" s="1">
        <v>46141</v>
      </c>
      <c r="D95" t="s">
        <v>45</v>
      </c>
      <c r="E95" t="b">
        <v>1</v>
      </c>
      <c r="F95">
        <v>1</v>
      </c>
      <c r="G95" s="2">
        <v>0.96388888888888891</v>
      </c>
      <c r="H95" t="s">
        <v>428</v>
      </c>
      <c r="I95" t="s">
        <v>428</v>
      </c>
      <c r="J95" t="s">
        <v>45</v>
      </c>
      <c r="K95" t="b">
        <v>1</v>
      </c>
      <c r="L95" t="b">
        <v>0</v>
      </c>
      <c r="M95">
        <v>9.5167166666666621</v>
      </c>
      <c r="N95">
        <v>5</v>
      </c>
      <c r="O95" t="s">
        <v>229</v>
      </c>
      <c r="P95">
        <v>0.17530000000000001</v>
      </c>
      <c r="Q95">
        <f>_xlfn.XLOOKUP(Table1[[#This Row],[session_id]],[1]chats_with_feedback!$A:$A,[1]chats_with_feedback!$F:$F)</f>
        <v>2</v>
      </c>
      <c r="R95">
        <f>_xlfn.XLOOKUP(Table1[[#This Row],[session_id]],[1]chats_with_feedback!$A:$A,[1]chats_with_feedback!$G:$G)</f>
        <v>3</v>
      </c>
      <c r="S95">
        <f>_xlfn.XLOOKUP(Table1[[#This Row],[session_id]],[1]chats_with_feedback!$A:$A,[1]chats_with_feedback!$J:$J)</f>
        <v>1</v>
      </c>
      <c r="T95" t="str">
        <f>_xlfn.XLOOKUP(Table1[[#This Row],[csat_score]],Sheet2!A:A,Sheet2!D:D)</f>
        <v>Baja</v>
      </c>
      <c r="U95" t="str">
        <f>_xlfn.XLOOKUP(Table1[[#This Row],[nps_score]],Sheet2!B:B,Sheet2!E:E)</f>
        <v>detractor</v>
      </c>
      <c r="V95" t="str">
        <f>_xlfn.XLOOKUP(Table1[[#This Row],[resolution_numeric]],Sheet2!C:C,Sheet2!F:F)</f>
        <v>no</v>
      </c>
      <c r="W95">
        <f>1</f>
        <v>1</v>
      </c>
      <c r="X95">
        <f>IF(ISBLANK(Table1[[#This Row],[nps_category]]),0,1)</f>
        <v>1</v>
      </c>
    </row>
    <row r="96" spans="1:24" x14ac:dyDescent="0.25">
      <c r="A96" t="s">
        <v>888</v>
      </c>
      <c r="B96" t="s">
        <v>889</v>
      </c>
      <c r="C96" s="1">
        <v>46141</v>
      </c>
      <c r="D96" t="s">
        <v>22</v>
      </c>
      <c r="E96" t="b">
        <v>0</v>
      </c>
      <c r="F96">
        <v>2</v>
      </c>
      <c r="G96" s="2">
        <v>1.6666666666666666E-2</v>
      </c>
      <c r="H96" t="s">
        <v>890</v>
      </c>
      <c r="I96" t="s">
        <v>890</v>
      </c>
      <c r="J96" t="s">
        <v>22</v>
      </c>
      <c r="K96" t="b">
        <v>0</v>
      </c>
      <c r="L96" t="b">
        <v>0</v>
      </c>
      <c r="M96">
        <v>36.241200000000006</v>
      </c>
      <c r="N96">
        <v>5</v>
      </c>
      <c r="O96" t="s">
        <v>891</v>
      </c>
      <c r="P96">
        <v>0.46</v>
      </c>
      <c r="Q96">
        <f>_xlfn.XLOOKUP(Table1[[#This Row],[session_id]],[1]chats_with_feedback!$A:$A,[1]chats_with_feedback!$F:$F)</f>
        <v>3</v>
      </c>
      <c r="R96">
        <f>_xlfn.XLOOKUP(Table1[[#This Row],[session_id]],[1]chats_with_feedback!$A:$A,[1]chats_with_feedback!$G:$G)</f>
        <v>7</v>
      </c>
      <c r="S96">
        <f>_xlfn.XLOOKUP(Table1[[#This Row],[session_id]],[1]chats_with_feedback!$A:$A,[1]chats_with_feedback!$J:$J)</f>
        <v>2</v>
      </c>
      <c r="T96" t="str">
        <f>_xlfn.XLOOKUP(Table1[[#This Row],[csat_score]],Sheet2!A:A,Sheet2!D:D)</f>
        <v>Media</v>
      </c>
      <c r="U96" t="str">
        <f>_xlfn.XLOOKUP(Table1[[#This Row],[nps_score]],Sheet2!B:B,Sheet2!E:E)</f>
        <v>passive</v>
      </c>
      <c r="V96" t="str">
        <f>_xlfn.XLOOKUP(Table1[[#This Row],[resolution_numeric]],Sheet2!C:C,Sheet2!F:F)</f>
        <v>partial</v>
      </c>
      <c r="W96">
        <f>1</f>
        <v>1</v>
      </c>
      <c r="X96">
        <f>IF(ISBLANK(Table1[[#This Row],[nps_category]]),0,1)</f>
        <v>1</v>
      </c>
    </row>
    <row r="97" spans="1:24" x14ac:dyDescent="0.25">
      <c r="A97" t="s">
        <v>1056</v>
      </c>
      <c r="B97" t="s">
        <v>1057</v>
      </c>
      <c r="C97" s="1">
        <v>46141</v>
      </c>
      <c r="D97" t="s">
        <v>45</v>
      </c>
      <c r="E97" t="b">
        <v>1</v>
      </c>
      <c r="F97">
        <v>1</v>
      </c>
      <c r="G97" s="2">
        <v>0.89583333333333337</v>
      </c>
      <c r="H97" t="s">
        <v>1058</v>
      </c>
      <c r="I97" t="s">
        <v>1058</v>
      </c>
      <c r="J97" t="s">
        <v>45</v>
      </c>
      <c r="K97" t="b">
        <v>1</v>
      </c>
      <c r="L97" t="b">
        <v>0</v>
      </c>
      <c r="M97">
        <v>15.307516666666601</v>
      </c>
      <c r="N97">
        <v>5</v>
      </c>
      <c r="O97" t="s">
        <v>216</v>
      </c>
      <c r="P97">
        <v>0.43340000000000001</v>
      </c>
      <c r="Q97">
        <f>_xlfn.XLOOKUP(Table1[[#This Row],[session_id]],[1]chats_with_feedback!$A:$A,[1]chats_with_feedback!$F:$F)</f>
        <v>3</v>
      </c>
      <c r="R97">
        <f>_xlfn.XLOOKUP(Table1[[#This Row],[session_id]],[1]chats_with_feedback!$A:$A,[1]chats_with_feedback!$G:$G)</f>
        <v>7</v>
      </c>
      <c r="S97">
        <f>_xlfn.XLOOKUP(Table1[[#This Row],[session_id]],[1]chats_with_feedback!$A:$A,[1]chats_with_feedback!$J:$J)</f>
        <v>2</v>
      </c>
      <c r="T97" t="str">
        <f>_xlfn.XLOOKUP(Table1[[#This Row],[csat_score]],Sheet2!A:A,Sheet2!D:D)</f>
        <v>Media</v>
      </c>
      <c r="U97" t="str">
        <f>_xlfn.XLOOKUP(Table1[[#This Row],[nps_score]],Sheet2!B:B,Sheet2!E:E)</f>
        <v>passive</v>
      </c>
      <c r="V97" t="str">
        <f>_xlfn.XLOOKUP(Table1[[#This Row],[resolution_numeric]],Sheet2!C:C,Sheet2!F:F)</f>
        <v>partial</v>
      </c>
      <c r="W97">
        <f>1</f>
        <v>1</v>
      </c>
      <c r="X97">
        <f>IF(ISBLANK(Table1[[#This Row],[nps_category]]),0,1)</f>
        <v>1</v>
      </c>
    </row>
    <row r="98" spans="1:24" x14ac:dyDescent="0.25">
      <c r="A98" t="s">
        <v>20</v>
      </c>
      <c r="B98" t="s">
        <v>21</v>
      </c>
      <c r="C98" s="1">
        <v>46144</v>
      </c>
      <c r="D98" t="s">
        <v>22</v>
      </c>
      <c r="E98" t="b">
        <v>0</v>
      </c>
      <c r="F98">
        <v>1</v>
      </c>
      <c r="G98" s="2">
        <v>0.32500000000000001</v>
      </c>
      <c r="H98" t="s">
        <v>23</v>
      </c>
      <c r="I98" t="s">
        <v>23</v>
      </c>
      <c r="J98" t="s">
        <v>22</v>
      </c>
      <c r="K98" t="b">
        <v>0</v>
      </c>
      <c r="L98" t="b">
        <v>0</v>
      </c>
      <c r="M98">
        <v>3.8293833333333303</v>
      </c>
      <c r="N98">
        <v>5</v>
      </c>
      <c r="O98" t="s">
        <v>24</v>
      </c>
      <c r="P98">
        <v>0.20319999999999999</v>
      </c>
      <c r="Q98">
        <f>_xlfn.XLOOKUP(Table1[[#This Row],[session_id]],[1]chats_with_feedback!$A:$A,[1]chats_with_feedback!$F:$F)</f>
        <v>2</v>
      </c>
      <c r="R98">
        <f>_xlfn.XLOOKUP(Table1[[#This Row],[session_id]],[1]chats_with_feedback!$A:$A,[1]chats_with_feedback!$G:$G)</f>
        <v>3</v>
      </c>
      <c r="S98">
        <f>_xlfn.XLOOKUP(Table1[[#This Row],[session_id]],[1]chats_with_feedback!$A:$A,[1]chats_with_feedback!$J:$J)</f>
        <v>1</v>
      </c>
      <c r="T98" t="str">
        <f>_xlfn.XLOOKUP(Table1[[#This Row],[csat_score]],Sheet2!A:A,Sheet2!D:D)</f>
        <v>Baja</v>
      </c>
      <c r="U98" t="str">
        <f>_xlfn.XLOOKUP(Table1[[#This Row],[nps_score]],Sheet2!B:B,Sheet2!E:E)</f>
        <v>detractor</v>
      </c>
      <c r="V98" t="str">
        <f>_xlfn.XLOOKUP(Table1[[#This Row],[resolution_numeric]],Sheet2!C:C,Sheet2!F:F)</f>
        <v>no</v>
      </c>
      <c r="W98">
        <f>1</f>
        <v>1</v>
      </c>
      <c r="X98">
        <f>IF(ISBLANK(Table1[[#This Row],[nps_category]]),0,1)</f>
        <v>1</v>
      </c>
    </row>
    <row r="99" spans="1:24" x14ac:dyDescent="0.25">
      <c r="A99" t="s">
        <v>25</v>
      </c>
      <c r="B99" t="s">
        <v>26</v>
      </c>
      <c r="C99" s="1">
        <v>46144</v>
      </c>
      <c r="D99" t="s">
        <v>22</v>
      </c>
      <c r="E99" t="b">
        <v>0</v>
      </c>
      <c r="F99">
        <v>1</v>
      </c>
      <c r="G99" s="2">
        <v>0.59652777777777777</v>
      </c>
      <c r="H99" t="s">
        <v>27</v>
      </c>
      <c r="I99" t="s">
        <v>27</v>
      </c>
      <c r="J99" t="s">
        <v>22</v>
      </c>
      <c r="K99" t="b">
        <v>0</v>
      </c>
      <c r="L99" t="b">
        <v>0</v>
      </c>
      <c r="M99">
        <v>5.3630333333333304</v>
      </c>
      <c r="N99">
        <v>5</v>
      </c>
      <c r="O99" t="s">
        <v>28</v>
      </c>
      <c r="P99">
        <v>0.25879999999999997</v>
      </c>
      <c r="Q99">
        <f>_xlfn.XLOOKUP(Table1[[#This Row],[session_id]],[1]chats_with_feedback!$A:$A,[1]chats_with_feedback!$F:$F)</f>
        <v>2</v>
      </c>
      <c r="R99">
        <f>_xlfn.XLOOKUP(Table1[[#This Row],[session_id]],[1]chats_with_feedback!$A:$A,[1]chats_with_feedback!$G:$G)</f>
        <v>3</v>
      </c>
      <c r="S99">
        <f>_xlfn.XLOOKUP(Table1[[#This Row],[session_id]],[1]chats_with_feedback!$A:$A,[1]chats_with_feedback!$J:$J)</f>
        <v>1</v>
      </c>
      <c r="T99" t="str">
        <f>_xlfn.XLOOKUP(Table1[[#This Row],[csat_score]],Sheet2!A:A,Sheet2!D:D)</f>
        <v>Baja</v>
      </c>
      <c r="U99" t="str">
        <f>_xlfn.XLOOKUP(Table1[[#This Row],[nps_score]],Sheet2!B:B,Sheet2!E:E)</f>
        <v>detractor</v>
      </c>
      <c r="V99" t="str">
        <f>_xlfn.XLOOKUP(Table1[[#This Row],[resolution_numeric]],Sheet2!C:C,Sheet2!F:F)</f>
        <v>no</v>
      </c>
      <c r="W99">
        <f>1</f>
        <v>1</v>
      </c>
      <c r="X99">
        <f>IF(ISBLANK(Table1[[#This Row],[nps_category]]),0,1)</f>
        <v>1</v>
      </c>
    </row>
    <row r="100" spans="1:24" x14ac:dyDescent="0.25">
      <c r="A100" t="s">
        <v>29</v>
      </c>
      <c r="B100" t="s">
        <v>30</v>
      </c>
      <c r="C100" s="1">
        <v>46144</v>
      </c>
      <c r="D100" t="s">
        <v>22</v>
      </c>
      <c r="E100" t="b">
        <v>0</v>
      </c>
      <c r="F100">
        <v>1</v>
      </c>
      <c r="G100" s="2">
        <v>0.87222222222222223</v>
      </c>
      <c r="H100" t="s">
        <v>31</v>
      </c>
      <c r="I100" t="s">
        <v>31</v>
      </c>
      <c r="J100" t="s">
        <v>22</v>
      </c>
      <c r="K100" t="b">
        <v>0</v>
      </c>
      <c r="L100" t="b">
        <v>0</v>
      </c>
      <c r="M100">
        <v>6.3776666666666593</v>
      </c>
      <c r="N100">
        <v>5</v>
      </c>
      <c r="O100" t="s">
        <v>32</v>
      </c>
      <c r="P100">
        <v>0.29149999999999998</v>
      </c>
      <c r="Q100">
        <f>_xlfn.XLOOKUP(Table1[[#This Row],[session_id]],[1]chats_with_feedback!$A:$A,[1]chats_with_feedback!$F:$F)</f>
        <v>3</v>
      </c>
      <c r="R100">
        <f>_xlfn.XLOOKUP(Table1[[#This Row],[session_id]],[1]chats_with_feedback!$A:$A,[1]chats_with_feedback!$G:$G)</f>
        <v>7</v>
      </c>
      <c r="S100">
        <f>_xlfn.XLOOKUP(Table1[[#This Row],[session_id]],[1]chats_with_feedback!$A:$A,[1]chats_with_feedback!$J:$J)</f>
        <v>2</v>
      </c>
      <c r="T100" t="str">
        <f>_xlfn.XLOOKUP(Table1[[#This Row],[csat_score]],Sheet2!A:A,Sheet2!D:D)</f>
        <v>Media</v>
      </c>
      <c r="U100" t="str">
        <f>_xlfn.XLOOKUP(Table1[[#This Row],[nps_score]],Sheet2!B:B,Sheet2!E:E)</f>
        <v>passive</v>
      </c>
      <c r="V100" t="str">
        <f>_xlfn.XLOOKUP(Table1[[#This Row],[resolution_numeric]],Sheet2!C:C,Sheet2!F:F)</f>
        <v>partial</v>
      </c>
      <c r="W100">
        <f>1</f>
        <v>1</v>
      </c>
      <c r="X100">
        <f>IF(ISBLANK(Table1[[#This Row],[nps_category]]),0,1)</f>
        <v>1</v>
      </c>
    </row>
    <row r="101" spans="1:24" x14ac:dyDescent="0.25">
      <c r="A101" t="s">
        <v>33</v>
      </c>
      <c r="B101" t="s">
        <v>34</v>
      </c>
      <c r="C101" s="1">
        <v>46144</v>
      </c>
      <c r="D101" t="s">
        <v>22</v>
      </c>
      <c r="E101" t="b">
        <v>0</v>
      </c>
      <c r="F101">
        <v>1</v>
      </c>
      <c r="G101" s="2">
        <v>0.80625000000000002</v>
      </c>
      <c r="H101" t="s">
        <v>35</v>
      </c>
      <c r="I101" t="s">
        <v>35</v>
      </c>
      <c r="J101" t="s">
        <v>22</v>
      </c>
      <c r="K101" t="b">
        <v>0</v>
      </c>
      <c r="L101" t="b">
        <v>0</v>
      </c>
      <c r="M101">
        <v>34.160566666666597</v>
      </c>
      <c r="N101">
        <v>5</v>
      </c>
      <c r="O101" t="s">
        <v>36</v>
      </c>
      <c r="P101">
        <v>0.33239999999999997</v>
      </c>
      <c r="Q101">
        <f>_xlfn.XLOOKUP(Table1[[#This Row],[session_id]],[1]chats_with_feedback!$A:$A,[1]chats_with_feedback!$F:$F)</f>
        <v>2</v>
      </c>
      <c r="R101">
        <f>_xlfn.XLOOKUP(Table1[[#This Row],[session_id]],[1]chats_with_feedback!$A:$A,[1]chats_with_feedback!$G:$G)</f>
        <v>3</v>
      </c>
      <c r="S101">
        <f>_xlfn.XLOOKUP(Table1[[#This Row],[session_id]],[1]chats_with_feedback!$A:$A,[1]chats_with_feedback!$J:$J)</f>
        <v>1</v>
      </c>
      <c r="T101" t="str">
        <f>_xlfn.XLOOKUP(Table1[[#This Row],[csat_score]],Sheet2!A:A,Sheet2!D:D)</f>
        <v>Baja</v>
      </c>
      <c r="U101" t="str">
        <f>_xlfn.XLOOKUP(Table1[[#This Row],[nps_score]],Sheet2!B:B,Sheet2!E:E)</f>
        <v>detractor</v>
      </c>
      <c r="V101" t="str">
        <f>_xlfn.XLOOKUP(Table1[[#This Row],[resolution_numeric]],Sheet2!C:C,Sheet2!F:F)</f>
        <v>no</v>
      </c>
      <c r="W101">
        <f>1</f>
        <v>1</v>
      </c>
      <c r="X101">
        <f>IF(ISBLANK(Table1[[#This Row],[nps_category]]),0,1)</f>
        <v>1</v>
      </c>
    </row>
    <row r="102" spans="1:24" x14ac:dyDescent="0.25">
      <c r="A102" t="s">
        <v>43</v>
      </c>
      <c r="B102" t="s">
        <v>44</v>
      </c>
      <c r="C102" s="1">
        <v>46144</v>
      </c>
      <c r="D102" t="s">
        <v>45</v>
      </c>
      <c r="E102" t="b">
        <v>1</v>
      </c>
      <c r="F102">
        <v>1</v>
      </c>
      <c r="G102" s="2">
        <v>0.6645833333333333</v>
      </c>
      <c r="H102" t="s">
        <v>46</v>
      </c>
      <c r="I102" t="s">
        <v>46</v>
      </c>
      <c r="J102" t="s">
        <v>45</v>
      </c>
      <c r="K102" t="b">
        <v>1</v>
      </c>
      <c r="L102" t="b">
        <v>0</v>
      </c>
      <c r="M102">
        <v>5.2074999999999907</v>
      </c>
      <c r="N102">
        <v>5</v>
      </c>
      <c r="O102" t="s">
        <v>47</v>
      </c>
      <c r="P102">
        <v>0.41970000000000002</v>
      </c>
      <c r="Q102">
        <f>_xlfn.XLOOKUP(Table1[[#This Row],[session_id]],[1]chats_with_feedback!$A:$A,[1]chats_with_feedback!$F:$F)</f>
        <v>3</v>
      </c>
      <c r="R102">
        <f>_xlfn.XLOOKUP(Table1[[#This Row],[session_id]],[1]chats_with_feedback!$A:$A,[1]chats_with_feedback!$G:$G)</f>
        <v>7</v>
      </c>
      <c r="S102">
        <f>_xlfn.XLOOKUP(Table1[[#This Row],[session_id]],[1]chats_with_feedback!$A:$A,[1]chats_with_feedback!$J:$J)</f>
        <v>2</v>
      </c>
      <c r="T102" t="str">
        <f>_xlfn.XLOOKUP(Table1[[#This Row],[csat_score]],Sheet2!A:A,Sheet2!D:D)</f>
        <v>Media</v>
      </c>
      <c r="U102" t="str">
        <f>_xlfn.XLOOKUP(Table1[[#This Row],[nps_score]],Sheet2!B:B,Sheet2!E:E)</f>
        <v>passive</v>
      </c>
      <c r="V102" t="str">
        <f>_xlfn.XLOOKUP(Table1[[#This Row],[resolution_numeric]],Sheet2!C:C,Sheet2!F:F)</f>
        <v>partial</v>
      </c>
      <c r="W102">
        <f>1</f>
        <v>1</v>
      </c>
      <c r="X102">
        <f>IF(ISBLANK(Table1[[#This Row],[nps_category]]),0,1)</f>
        <v>1</v>
      </c>
    </row>
    <row r="103" spans="1:24" x14ac:dyDescent="0.25">
      <c r="A103" t="s">
        <v>60</v>
      </c>
      <c r="B103" t="s">
        <v>61</v>
      </c>
      <c r="C103" s="1">
        <v>46144</v>
      </c>
      <c r="D103" t="s">
        <v>45</v>
      </c>
      <c r="E103" t="b">
        <v>1</v>
      </c>
      <c r="F103">
        <v>1</v>
      </c>
      <c r="G103" s="2">
        <v>0.2361111111111111</v>
      </c>
      <c r="H103" t="s">
        <v>62</v>
      </c>
      <c r="I103" t="s">
        <v>62</v>
      </c>
      <c r="J103" t="s">
        <v>45</v>
      </c>
      <c r="K103" t="b">
        <v>1</v>
      </c>
      <c r="L103" t="b">
        <v>0</v>
      </c>
      <c r="M103">
        <v>5.7562333333333298</v>
      </c>
      <c r="N103">
        <v>5</v>
      </c>
      <c r="O103" t="s">
        <v>63</v>
      </c>
      <c r="P103">
        <v>0.2873</v>
      </c>
      <c r="Q103">
        <f>_xlfn.XLOOKUP(Table1[[#This Row],[session_id]],[1]chats_with_feedback!$A:$A,[1]chats_with_feedback!$F:$F)</f>
        <v>3</v>
      </c>
      <c r="R103">
        <f>_xlfn.XLOOKUP(Table1[[#This Row],[session_id]],[1]chats_with_feedback!$A:$A,[1]chats_with_feedback!$G:$G)</f>
        <v>7</v>
      </c>
      <c r="S103">
        <f>_xlfn.XLOOKUP(Table1[[#This Row],[session_id]],[1]chats_with_feedback!$A:$A,[1]chats_with_feedback!$J:$J)</f>
        <v>2</v>
      </c>
      <c r="T103" t="str">
        <f>_xlfn.XLOOKUP(Table1[[#This Row],[csat_score]],Sheet2!A:A,Sheet2!D:D)</f>
        <v>Media</v>
      </c>
      <c r="U103" t="str">
        <f>_xlfn.XLOOKUP(Table1[[#This Row],[nps_score]],Sheet2!B:B,Sheet2!E:E)</f>
        <v>passive</v>
      </c>
      <c r="V103" t="str">
        <f>_xlfn.XLOOKUP(Table1[[#This Row],[resolution_numeric]],Sheet2!C:C,Sheet2!F:F)</f>
        <v>partial</v>
      </c>
      <c r="W103">
        <f>1</f>
        <v>1</v>
      </c>
      <c r="X103">
        <f>IF(ISBLANK(Table1[[#This Row],[nps_category]]),0,1)</f>
        <v>1</v>
      </c>
    </row>
    <row r="104" spans="1:24" x14ac:dyDescent="0.25">
      <c r="A104" t="s">
        <v>64</v>
      </c>
      <c r="B104" t="s">
        <v>65</v>
      </c>
      <c r="C104" s="1">
        <v>46144</v>
      </c>
      <c r="D104" t="s">
        <v>22</v>
      </c>
      <c r="E104" t="b">
        <v>0</v>
      </c>
      <c r="F104">
        <v>1</v>
      </c>
      <c r="G104" s="2">
        <v>0.6875</v>
      </c>
      <c r="H104" t="s">
        <v>66</v>
      </c>
      <c r="I104" t="s">
        <v>66</v>
      </c>
      <c r="J104" t="s">
        <v>22</v>
      </c>
      <c r="K104" t="b">
        <v>0</v>
      </c>
      <c r="L104" t="b">
        <v>0</v>
      </c>
      <c r="M104">
        <v>10.848499999999898</v>
      </c>
      <c r="N104">
        <v>5</v>
      </c>
      <c r="O104" t="s">
        <v>67</v>
      </c>
      <c r="P104">
        <v>0.217</v>
      </c>
      <c r="Q104">
        <f>_xlfn.XLOOKUP(Table1[[#This Row],[session_id]],[1]chats_with_feedback!$A:$A,[1]chats_with_feedback!$F:$F)</f>
        <v>2</v>
      </c>
      <c r="R104">
        <f>_xlfn.XLOOKUP(Table1[[#This Row],[session_id]],[1]chats_with_feedback!$A:$A,[1]chats_with_feedback!$G:$G)</f>
        <v>3</v>
      </c>
      <c r="S104">
        <f>_xlfn.XLOOKUP(Table1[[#This Row],[session_id]],[1]chats_with_feedback!$A:$A,[1]chats_with_feedback!$J:$J)</f>
        <v>1</v>
      </c>
      <c r="T104" t="str">
        <f>_xlfn.XLOOKUP(Table1[[#This Row],[csat_score]],Sheet2!A:A,Sheet2!D:D)</f>
        <v>Baja</v>
      </c>
      <c r="U104" t="str">
        <f>_xlfn.XLOOKUP(Table1[[#This Row],[nps_score]],Sheet2!B:B,Sheet2!E:E)</f>
        <v>detractor</v>
      </c>
      <c r="V104" t="str">
        <f>_xlfn.XLOOKUP(Table1[[#This Row],[resolution_numeric]],Sheet2!C:C,Sheet2!F:F)</f>
        <v>no</v>
      </c>
      <c r="W104">
        <f>1</f>
        <v>1</v>
      </c>
      <c r="X104">
        <f>IF(ISBLANK(Table1[[#This Row],[nps_category]]),0,1)</f>
        <v>1</v>
      </c>
    </row>
    <row r="105" spans="1:24" x14ac:dyDescent="0.25">
      <c r="A105" t="s">
        <v>68</v>
      </c>
      <c r="B105" t="s">
        <v>69</v>
      </c>
      <c r="C105" s="1">
        <v>46144</v>
      </c>
      <c r="D105" t="s">
        <v>22</v>
      </c>
      <c r="E105" t="b">
        <v>0</v>
      </c>
      <c r="F105">
        <v>1</v>
      </c>
      <c r="G105" s="2">
        <v>0.9604166666666667</v>
      </c>
      <c r="H105" t="s">
        <v>70</v>
      </c>
      <c r="I105" t="s">
        <v>70</v>
      </c>
      <c r="J105" t="s">
        <v>22</v>
      </c>
      <c r="K105" t="b">
        <v>0</v>
      </c>
      <c r="L105" t="b">
        <v>0</v>
      </c>
      <c r="M105">
        <v>15.29935</v>
      </c>
      <c r="N105">
        <v>5</v>
      </c>
      <c r="O105" t="s">
        <v>36</v>
      </c>
      <c r="P105">
        <v>0.35370000000000001</v>
      </c>
      <c r="Q105">
        <f>_xlfn.XLOOKUP(Table1[[#This Row],[session_id]],[1]chats_with_feedback!$A:$A,[1]chats_with_feedback!$F:$F)</f>
        <v>2</v>
      </c>
      <c r="R105">
        <f>_xlfn.XLOOKUP(Table1[[#This Row],[session_id]],[1]chats_with_feedback!$A:$A,[1]chats_with_feedback!$G:$G)</f>
        <v>3</v>
      </c>
      <c r="S105">
        <f>_xlfn.XLOOKUP(Table1[[#This Row],[session_id]],[1]chats_with_feedback!$A:$A,[1]chats_with_feedback!$J:$J)</f>
        <v>1</v>
      </c>
      <c r="T105" t="str">
        <f>_xlfn.XLOOKUP(Table1[[#This Row],[csat_score]],Sheet2!A:A,Sheet2!D:D)</f>
        <v>Baja</v>
      </c>
      <c r="U105" t="str">
        <f>_xlfn.XLOOKUP(Table1[[#This Row],[nps_score]],Sheet2!B:B,Sheet2!E:E)</f>
        <v>detractor</v>
      </c>
      <c r="V105" t="str">
        <f>_xlfn.XLOOKUP(Table1[[#This Row],[resolution_numeric]],Sheet2!C:C,Sheet2!F:F)</f>
        <v>no</v>
      </c>
      <c r="W105">
        <f>1</f>
        <v>1</v>
      </c>
      <c r="X105">
        <f>IF(ISBLANK(Table1[[#This Row],[nps_category]]),0,1)</f>
        <v>1</v>
      </c>
    </row>
    <row r="106" spans="1:24" x14ac:dyDescent="0.25">
      <c r="A106" t="s">
        <v>77</v>
      </c>
      <c r="B106" t="s">
        <v>78</v>
      </c>
      <c r="C106" s="1">
        <v>46144</v>
      </c>
      <c r="D106" t="s">
        <v>22</v>
      </c>
      <c r="E106" t="b">
        <v>0</v>
      </c>
      <c r="F106">
        <v>1</v>
      </c>
      <c r="G106" s="2">
        <v>0.67083333333333328</v>
      </c>
      <c r="H106" t="s">
        <v>79</v>
      </c>
      <c r="I106" t="s">
        <v>79</v>
      </c>
      <c r="J106" t="s">
        <v>22</v>
      </c>
      <c r="K106" t="b">
        <v>0</v>
      </c>
      <c r="L106" t="b">
        <v>0</v>
      </c>
      <c r="M106">
        <v>6.8498999999999999</v>
      </c>
      <c r="N106">
        <v>5</v>
      </c>
      <c r="O106" t="s">
        <v>80</v>
      </c>
      <c r="P106">
        <v>0.4405</v>
      </c>
      <c r="Q106">
        <f>_xlfn.XLOOKUP(Table1[[#This Row],[session_id]],[1]chats_with_feedback!$A:$A,[1]chats_with_feedback!$F:$F)</f>
        <v>5</v>
      </c>
      <c r="R106">
        <f>_xlfn.XLOOKUP(Table1[[#This Row],[session_id]],[1]chats_with_feedback!$A:$A,[1]chats_with_feedback!$G:$G)</f>
        <v>10</v>
      </c>
      <c r="S106">
        <f>_xlfn.XLOOKUP(Table1[[#This Row],[session_id]],[1]chats_with_feedback!$A:$A,[1]chats_with_feedback!$J:$J)</f>
        <v>3</v>
      </c>
      <c r="T106" t="str">
        <f>_xlfn.XLOOKUP(Table1[[#This Row],[csat_score]],Sheet2!A:A,Sheet2!D:D)</f>
        <v>Alta</v>
      </c>
      <c r="U106" t="str">
        <f>_xlfn.XLOOKUP(Table1[[#This Row],[nps_score]],Sheet2!B:B,Sheet2!E:E)</f>
        <v>promoter</v>
      </c>
      <c r="V106" t="str">
        <f>_xlfn.XLOOKUP(Table1[[#This Row],[resolution_numeric]],Sheet2!C:C,Sheet2!F:F)</f>
        <v>yes</v>
      </c>
      <c r="W106">
        <f>1</f>
        <v>1</v>
      </c>
      <c r="X106">
        <f>IF(ISBLANK(Table1[[#This Row],[nps_category]]),0,1)</f>
        <v>1</v>
      </c>
    </row>
    <row r="107" spans="1:24" x14ac:dyDescent="0.25">
      <c r="A107" t="s">
        <v>85</v>
      </c>
      <c r="B107" t="s">
        <v>86</v>
      </c>
      <c r="C107" s="1">
        <v>46144</v>
      </c>
      <c r="D107" t="s">
        <v>22</v>
      </c>
      <c r="E107" t="b">
        <v>0</v>
      </c>
      <c r="F107">
        <v>1</v>
      </c>
      <c r="G107" s="2">
        <v>0.21944444444444444</v>
      </c>
      <c r="H107" t="s">
        <v>87</v>
      </c>
      <c r="I107" t="s">
        <v>87</v>
      </c>
      <c r="J107" t="s">
        <v>22</v>
      </c>
      <c r="K107" t="b">
        <v>0</v>
      </c>
      <c r="L107" t="b">
        <v>0</v>
      </c>
      <c r="M107">
        <v>5.9909499999999998</v>
      </c>
      <c r="N107">
        <v>5</v>
      </c>
      <c r="O107" t="s">
        <v>88</v>
      </c>
      <c r="P107">
        <v>0.45800000000000002</v>
      </c>
      <c r="Q107">
        <f>_xlfn.XLOOKUP(Table1[[#This Row],[session_id]],[1]chats_with_feedback!$A:$A,[1]chats_with_feedback!$F:$F)</f>
        <v>5</v>
      </c>
      <c r="R107">
        <f>_xlfn.XLOOKUP(Table1[[#This Row],[session_id]],[1]chats_with_feedback!$A:$A,[1]chats_with_feedback!$G:$G)</f>
        <v>10</v>
      </c>
      <c r="S107">
        <f>_xlfn.XLOOKUP(Table1[[#This Row],[session_id]],[1]chats_with_feedback!$A:$A,[1]chats_with_feedback!$J:$J)</f>
        <v>3</v>
      </c>
      <c r="T107" t="str">
        <f>_xlfn.XLOOKUP(Table1[[#This Row],[csat_score]],Sheet2!A:A,Sheet2!D:D)</f>
        <v>Alta</v>
      </c>
      <c r="U107" t="str">
        <f>_xlfn.XLOOKUP(Table1[[#This Row],[nps_score]],Sheet2!B:B,Sheet2!E:E)</f>
        <v>promoter</v>
      </c>
      <c r="V107" t="str">
        <f>_xlfn.XLOOKUP(Table1[[#This Row],[resolution_numeric]],Sheet2!C:C,Sheet2!F:F)</f>
        <v>yes</v>
      </c>
      <c r="W107">
        <f>1</f>
        <v>1</v>
      </c>
      <c r="X107">
        <f>IF(ISBLANK(Table1[[#This Row],[nps_category]]),0,1)</f>
        <v>1</v>
      </c>
    </row>
    <row r="108" spans="1:24" x14ac:dyDescent="0.25">
      <c r="A108" t="s">
        <v>92</v>
      </c>
      <c r="B108" t="s">
        <v>93</v>
      </c>
      <c r="C108" s="1">
        <v>46144</v>
      </c>
      <c r="D108" t="s">
        <v>45</v>
      </c>
      <c r="E108" t="b">
        <v>1</v>
      </c>
      <c r="F108">
        <v>1</v>
      </c>
      <c r="G108" s="2">
        <v>0.99236111111111114</v>
      </c>
      <c r="H108" t="s">
        <v>94</v>
      </c>
      <c r="I108" t="s">
        <v>94</v>
      </c>
      <c r="J108" t="s">
        <v>45</v>
      </c>
      <c r="K108" t="b">
        <v>1</v>
      </c>
      <c r="L108" t="b">
        <v>0</v>
      </c>
      <c r="M108">
        <v>4.8399166666666593</v>
      </c>
      <c r="N108">
        <v>5</v>
      </c>
      <c r="O108" t="s">
        <v>95</v>
      </c>
      <c r="P108">
        <v>0.81369999999999998</v>
      </c>
      <c r="Q108">
        <f>_xlfn.XLOOKUP(Table1[[#This Row],[session_id]],[1]chats_with_feedback!$A:$A,[1]chats_with_feedback!$F:$F)</f>
        <v>5</v>
      </c>
      <c r="R108">
        <f>_xlfn.XLOOKUP(Table1[[#This Row],[session_id]],[1]chats_with_feedback!$A:$A,[1]chats_with_feedback!$G:$G)</f>
        <v>10</v>
      </c>
      <c r="S108">
        <f>_xlfn.XLOOKUP(Table1[[#This Row],[session_id]],[1]chats_with_feedback!$A:$A,[1]chats_with_feedback!$J:$J)</f>
        <v>3</v>
      </c>
      <c r="T108" t="str">
        <f>_xlfn.XLOOKUP(Table1[[#This Row],[csat_score]],Sheet2!A:A,Sheet2!D:D)</f>
        <v>Alta</v>
      </c>
      <c r="U108" t="str">
        <f>_xlfn.XLOOKUP(Table1[[#This Row],[nps_score]],Sheet2!B:B,Sheet2!E:E)</f>
        <v>promoter</v>
      </c>
      <c r="V108" t="str">
        <f>_xlfn.XLOOKUP(Table1[[#This Row],[resolution_numeric]],Sheet2!C:C,Sheet2!F:F)</f>
        <v>yes</v>
      </c>
      <c r="W108">
        <f>1</f>
        <v>1</v>
      </c>
      <c r="X108">
        <f>IF(ISBLANK(Table1[[#This Row],[nps_category]]),0,1)</f>
        <v>1</v>
      </c>
    </row>
    <row r="109" spans="1:24" x14ac:dyDescent="0.25">
      <c r="A109" t="s">
        <v>96</v>
      </c>
      <c r="B109" t="s">
        <v>97</v>
      </c>
      <c r="C109" s="1">
        <v>46144</v>
      </c>
      <c r="D109" t="s">
        <v>45</v>
      </c>
      <c r="E109" t="b">
        <v>1</v>
      </c>
      <c r="F109">
        <v>1</v>
      </c>
      <c r="G109" s="2">
        <v>0.33124999999999999</v>
      </c>
      <c r="H109" t="s">
        <v>98</v>
      </c>
      <c r="I109" t="s">
        <v>98</v>
      </c>
      <c r="J109" t="s">
        <v>45</v>
      </c>
      <c r="K109" t="b">
        <v>1</v>
      </c>
      <c r="L109" t="b">
        <v>0</v>
      </c>
      <c r="M109">
        <v>5.6806166666666602</v>
      </c>
      <c r="N109">
        <v>5</v>
      </c>
      <c r="O109" t="s">
        <v>99</v>
      </c>
      <c r="P109">
        <v>0.27629999999999999</v>
      </c>
      <c r="Q109">
        <f>_xlfn.XLOOKUP(Table1[[#This Row],[session_id]],[1]chats_with_feedback!$A:$A,[1]chats_with_feedback!$F:$F)</f>
        <v>2</v>
      </c>
      <c r="R109">
        <f>_xlfn.XLOOKUP(Table1[[#This Row],[session_id]],[1]chats_with_feedback!$A:$A,[1]chats_with_feedback!$G:$G)</f>
        <v>3</v>
      </c>
      <c r="S109">
        <f>_xlfn.XLOOKUP(Table1[[#This Row],[session_id]],[1]chats_with_feedback!$A:$A,[1]chats_with_feedback!$J:$J)</f>
        <v>1</v>
      </c>
      <c r="T109" t="str">
        <f>_xlfn.XLOOKUP(Table1[[#This Row],[csat_score]],Sheet2!A:A,Sheet2!D:D)</f>
        <v>Baja</v>
      </c>
      <c r="U109" t="str">
        <f>_xlfn.XLOOKUP(Table1[[#This Row],[nps_score]],Sheet2!B:B,Sheet2!E:E)</f>
        <v>detractor</v>
      </c>
      <c r="V109" t="str">
        <f>_xlfn.XLOOKUP(Table1[[#This Row],[resolution_numeric]],Sheet2!C:C,Sheet2!F:F)</f>
        <v>no</v>
      </c>
      <c r="W109">
        <f>1</f>
        <v>1</v>
      </c>
      <c r="X109">
        <f>IF(ISBLANK(Table1[[#This Row],[nps_category]]),0,1)</f>
        <v>1</v>
      </c>
    </row>
    <row r="110" spans="1:24" x14ac:dyDescent="0.25">
      <c r="A110" s="3" t="s">
        <v>248</v>
      </c>
      <c r="B110" t="s">
        <v>249</v>
      </c>
      <c r="C110" s="1">
        <v>46136</v>
      </c>
      <c r="D110" t="s">
        <v>45</v>
      </c>
      <c r="E110" t="b">
        <v>1</v>
      </c>
      <c r="F110">
        <v>1</v>
      </c>
      <c r="G110" s="2">
        <v>4.583333333333333E-2</v>
      </c>
      <c r="H110" t="s">
        <v>125</v>
      </c>
      <c r="I110" t="s">
        <v>125</v>
      </c>
      <c r="J110" t="s">
        <v>45</v>
      </c>
      <c r="K110" t="b">
        <v>1</v>
      </c>
      <c r="L110" t="b">
        <v>0</v>
      </c>
      <c r="M110">
        <v>12.631300000000001</v>
      </c>
      <c r="N110">
        <v>5</v>
      </c>
      <c r="O110" t="s">
        <v>250</v>
      </c>
      <c r="P110">
        <v>0.20430000000000001</v>
      </c>
      <c r="Q110">
        <f>_xlfn.XLOOKUP(Table1[[#This Row],[session_id]],[1]chats_with_feedback!$A:$A,[1]chats_with_feedback!$F:$F)</f>
        <v>2</v>
      </c>
      <c r="R110">
        <f>_xlfn.XLOOKUP(Table1[[#This Row],[session_id]],[1]chats_with_feedback!$A:$A,[1]chats_with_feedback!$G:$G)</f>
        <v>3</v>
      </c>
      <c r="S110">
        <f>_xlfn.XLOOKUP(Table1[[#This Row],[session_id]],[1]chats_with_feedback!$A:$A,[1]chats_with_feedback!$J:$J)</f>
        <v>1</v>
      </c>
      <c r="T110" t="str">
        <f>_xlfn.XLOOKUP(Table1[[#This Row],[csat_score]],Sheet2!A:A,Sheet2!D:D)</f>
        <v>Baja</v>
      </c>
      <c r="U110" t="str">
        <f>_xlfn.XLOOKUP(Table1[[#This Row],[nps_score]],Sheet2!B:B,Sheet2!E:E)</f>
        <v>detractor</v>
      </c>
      <c r="V110" t="str">
        <f>_xlfn.XLOOKUP(Table1[[#This Row],[resolution_numeric]],Sheet2!C:C,Sheet2!F:F)</f>
        <v>no</v>
      </c>
      <c r="W110">
        <f>1</f>
        <v>1</v>
      </c>
      <c r="X110">
        <f>IF(ISBLANK(Table1[[#This Row],[nps_category]]),0,1)</f>
        <v>1</v>
      </c>
    </row>
    <row r="111" spans="1:24" x14ac:dyDescent="0.25">
      <c r="A111" t="s">
        <v>103</v>
      </c>
      <c r="B111" t="s">
        <v>104</v>
      </c>
      <c r="C111" s="1">
        <v>46144</v>
      </c>
      <c r="D111" t="s">
        <v>45</v>
      </c>
      <c r="E111" t="b">
        <v>1</v>
      </c>
      <c r="F111">
        <v>1</v>
      </c>
      <c r="G111" s="2">
        <v>0.74861111111111112</v>
      </c>
      <c r="H111" t="s">
        <v>105</v>
      </c>
      <c r="I111" t="s">
        <v>105</v>
      </c>
      <c r="J111" t="s">
        <v>45</v>
      </c>
      <c r="K111" t="b">
        <v>1</v>
      </c>
      <c r="L111" t="b">
        <v>0</v>
      </c>
      <c r="M111">
        <v>4.7777999999999992</v>
      </c>
      <c r="N111">
        <v>5</v>
      </c>
      <c r="O111" t="s">
        <v>106</v>
      </c>
      <c r="P111">
        <v>0.99939999999999996</v>
      </c>
      <c r="Q111">
        <f>_xlfn.XLOOKUP(Table1[[#This Row],[session_id]],[1]chats_with_feedback!$A:$A,[1]chats_with_feedback!$F:$F)</f>
        <v>5</v>
      </c>
      <c r="R111">
        <f>_xlfn.XLOOKUP(Table1[[#This Row],[session_id]],[1]chats_with_feedback!$A:$A,[1]chats_with_feedback!$G:$G)</f>
        <v>10</v>
      </c>
      <c r="S111">
        <f>_xlfn.XLOOKUP(Table1[[#This Row],[session_id]],[1]chats_with_feedback!$A:$A,[1]chats_with_feedback!$J:$J)</f>
        <v>3</v>
      </c>
      <c r="T111" t="str">
        <f>_xlfn.XLOOKUP(Table1[[#This Row],[csat_score]],Sheet2!A:A,Sheet2!D:D)</f>
        <v>Alta</v>
      </c>
      <c r="U111" t="str">
        <f>_xlfn.XLOOKUP(Table1[[#This Row],[nps_score]],Sheet2!B:B,Sheet2!E:E)</f>
        <v>promoter</v>
      </c>
      <c r="V111" t="str">
        <f>_xlfn.XLOOKUP(Table1[[#This Row],[resolution_numeric]],Sheet2!C:C,Sheet2!F:F)</f>
        <v>yes</v>
      </c>
      <c r="W111">
        <f>1</f>
        <v>1</v>
      </c>
      <c r="X111">
        <f>IF(ISBLANK(Table1[[#This Row],[nps_category]]),0,1)</f>
        <v>1</v>
      </c>
    </row>
    <row r="112" spans="1:24" x14ac:dyDescent="0.25">
      <c r="A112" t="s">
        <v>121</v>
      </c>
      <c r="B112" t="s">
        <v>122</v>
      </c>
      <c r="C112" s="1">
        <v>46144</v>
      </c>
      <c r="D112" t="s">
        <v>45</v>
      </c>
      <c r="E112" t="b">
        <v>1</v>
      </c>
      <c r="F112">
        <v>1</v>
      </c>
      <c r="G112" s="2">
        <v>0.96597222222222223</v>
      </c>
      <c r="H112" t="s">
        <v>123</v>
      </c>
      <c r="I112" t="s">
        <v>123</v>
      </c>
      <c r="J112" t="s">
        <v>45</v>
      </c>
      <c r="K112" t="b">
        <v>1</v>
      </c>
      <c r="L112" t="b">
        <v>0</v>
      </c>
      <c r="M112">
        <v>5.4827833333333302</v>
      </c>
      <c r="N112">
        <v>5</v>
      </c>
      <c r="O112" t="s">
        <v>113</v>
      </c>
      <c r="P112">
        <v>0.76929999999999998</v>
      </c>
      <c r="Q112">
        <f>_xlfn.XLOOKUP(Table1[[#This Row],[session_id]],[1]chats_with_feedback!$A:$A,[1]chats_with_feedback!$F:$F)</f>
        <v>5</v>
      </c>
      <c r="R112">
        <f>_xlfn.XLOOKUP(Table1[[#This Row],[session_id]],[1]chats_with_feedback!$A:$A,[1]chats_with_feedback!$G:$G)</f>
        <v>10</v>
      </c>
      <c r="S112">
        <f>_xlfn.XLOOKUP(Table1[[#This Row],[session_id]],[1]chats_with_feedback!$A:$A,[1]chats_with_feedback!$J:$J)</f>
        <v>3</v>
      </c>
      <c r="T112" t="str">
        <f>_xlfn.XLOOKUP(Table1[[#This Row],[csat_score]],Sheet2!A:A,Sheet2!D:D)</f>
        <v>Alta</v>
      </c>
      <c r="U112" t="str">
        <f>_xlfn.XLOOKUP(Table1[[#This Row],[nps_score]],Sheet2!B:B,Sheet2!E:E)</f>
        <v>promoter</v>
      </c>
      <c r="V112" t="str">
        <f>_xlfn.XLOOKUP(Table1[[#This Row],[resolution_numeric]],Sheet2!C:C,Sheet2!F:F)</f>
        <v>yes</v>
      </c>
      <c r="W112">
        <f>1</f>
        <v>1</v>
      </c>
      <c r="X112">
        <f>IF(ISBLANK(Table1[[#This Row],[nps_category]]),0,1)</f>
        <v>1</v>
      </c>
    </row>
    <row r="113" spans="1:24" x14ac:dyDescent="0.25">
      <c r="A113" t="s">
        <v>129</v>
      </c>
      <c r="B113" t="s">
        <v>130</v>
      </c>
      <c r="C113" s="1">
        <v>46144</v>
      </c>
      <c r="D113" t="s">
        <v>22</v>
      </c>
      <c r="E113" t="b">
        <v>0</v>
      </c>
      <c r="F113">
        <v>1</v>
      </c>
      <c r="G113" s="2">
        <v>0.19444444444444445</v>
      </c>
      <c r="H113" t="s">
        <v>131</v>
      </c>
      <c r="I113" t="s">
        <v>131</v>
      </c>
      <c r="J113" t="s">
        <v>22</v>
      </c>
      <c r="K113" t="b">
        <v>0</v>
      </c>
      <c r="L113" t="b">
        <v>0</v>
      </c>
      <c r="M113">
        <v>3.7991499999999996</v>
      </c>
      <c r="N113">
        <v>5</v>
      </c>
      <c r="O113" t="s">
        <v>32</v>
      </c>
      <c r="P113">
        <v>0.2681</v>
      </c>
      <c r="Q113">
        <f>_xlfn.XLOOKUP(Table1[[#This Row],[session_id]],[1]chats_with_feedback!$A:$A,[1]chats_with_feedback!$F:$F)</f>
        <v>2</v>
      </c>
      <c r="R113">
        <f>_xlfn.XLOOKUP(Table1[[#This Row],[session_id]],[1]chats_with_feedback!$A:$A,[1]chats_with_feedback!$G:$G)</f>
        <v>3</v>
      </c>
      <c r="S113">
        <f>_xlfn.XLOOKUP(Table1[[#This Row],[session_id]],[1]chats_with_feedback!$A:$A,[1]chats_with_feedback!$J:$J)</f>
        <v>1</v>
      </c>
      <c r="T113" t="str">
        <f>_xlfn.XLOOKUP(Table1[[#This Row],[csat_score]],Sheet2!A:A,Sheet2!D:D)</f>
        <v>Baja</v>
      </c>
      <c r="U113" t="str">
        <f>_xlfn.XLOOKUP(Table1[[#This Row],[nps_score]],Sheet2!B:B,Sheet2!E:E)</f>
        <v>detractor</v>
      </c>
      <c r="V113" t="str">
        <f>_xlfn.XLOOKUP(Table1[[#This Row],[resolution_numeric]],Sheet2!C:C,Sheet2!F:F)</f>
        <v>no</v>
      </c>
      <c r="W113">
        <f>1</f>
        <v>1</v>
      </c>
      <c r="X113">
        <f>IF(ISBLANK(Table1[[#This Row],[nps_category]]),0,1)</f>
        <v>1</v>
      </c>
    </row>
    <row r="114" spans="1:24" x14ac:dyDescent="0.25">
      <c r="A114" t="s">
        <v>153</v>
      </c>
      <c r="B114" t="s">
        <v>154</v>
      </c>
      <c r="C114" s="1">
        <v>46144</v>
      </c>
      <c r="D114" t="s">
        <v>22</v>
      </c>
      <c r="E114" t="b">
        <v>0</v>
      </c>
      <c r="F114">
        <v>1</v>
      </c>
      <c r="G114" s="2">
        <v>0.47569444444444442</v>
      </c>
      <c r="H114" t="s">
        <v>155</v>
      </c>
      <c r="I114" t="s">
        <v>155</v>
      </c>
      <c r="J114" t="s">
        <v>22</v>
      </c>
      <c r="K114" t="b">
        <v>0</v>
      </c>
      <c r="L114" t="b">
        <v>0</v>
      </c>
      <c r="M114">
        <v>49.799900000000001</v>
      </c>
      <c r="N114">
        <v>5</v>
      </c>
      <c r="O114" t="s">
        <v>156</v>
      </c>
      <c r="P114">
        <v>0.3216</v>
      </c>
      <c r="Q114">
        <f>_xlfn.XLOOKUP(Table1[[#This Row],[session_id]],[1]chats_with_feedback!$A:$A,[1]chats_with_feedback!$F:$F)</f>
        <v>2</v>
      </c>
      <c r="R114">
        <f>_xlfn.XLOOKUP(Table1[[#This Row],[session_id]],[1]chats_with_feedback!$A:$A,[1]chats_with_feedback!$G:$G)</f>
        <v>3</v>
      </c>
      <c r="S114">
        <f>_xlfn.XLOOKUP(Table1[[#This Row],[session_id]],[1]chats_with_feedback!$A:$A,[1]chats_with_feedback!$J:$J)</f>
        <v>1</v>
      </c>
      <c r="T114" t="str">
        <f>_xlfn.XLOOKUP(Table1[[#This Row],[csat_score]],Sheet2!A:A,Sheet2!D:D)</f>
        <v>Baja</v>
      </c>
      <c r="U114" t="str">
        <f>_xlfn.XLOOKUP(Table1[[#This Row],[nps_score]],Sheet2!B:B,Sheet2!E:E)</f>
        <v>detractor</v>
      </c>
      <c r="V114" t="str">
        <f>_xlfn.XLOOKUP(Table1[[#This Row],[resolution_numeric]],Sheet2!C:C,Sheet2!F:F)</f>
        <v>no</v>
      </c>
      <c r="W114">
        <f>1</f>
        <v>1</v>
      </c>
      <c r="X114">
        <f>IF(ISBLANK(Table1[[#This Row],[nps_category]]),0,1)</f>
        <v>1</v>
      </c>
    </row>
    <row r="115" spans="1:24" x14ac:dyDescent="0.25">
      <c r="A115" t="s">
        <v>177</v>
      </c>
      <c r="B115" t="s">
        <v>178</v>
      </c>
      <c r="C115" s="1">
        <v>46144</v>
      </c>
      <c r="D115" t="s">
        <v>22</v>
      </c>
      <c r="E115" t="b">
        <v>0</v>
      </c>
      <c r="F115">
        <v>1</v>
      </c>
      <c r="G115" s="2">
        <v>0.99652777777777779</v>
      </c>
      <c r="H115" t="s">
        <v>179</v>
      </c>
      <c r="I115" t="s">
        <v>179</v>
      </c>
      <c r="J115" t="s">
        <v>22</v>
      </c>
      <c r="K115" t="b">
        <v>0</v>
      </c>
      <c r="L115" t="b">
        <v>0</v>
      </c>
      <c r="M115">
        <v>3.3674999999999997</v>
      </c>
      <c r="N115">
        <v>5</v>
      </c>
      <c r="O115" t="s">
        <v>180</v>
      </c>
      <c r="P115">
        <v>0.26040000000000002</v>
      </c>
      <c r="Q115">
        <f>_xlfn.XLOOKUP(Table1[[#This Row],[session_id]],[1]chats_with_feedback!$A:$A,[1]chats_with_feedback!$F:$F)</f>
        <v>2</v>
      </c>
      <c r="R115">
        <f>_xlfn.XLOOKUP(Table1[[#This Row],[session_id]],[1]chats_with_feedback!$A:$A,[1]chats_with_feedback!$G:$G)</f>
        <v>3</v>
      </c>
      <c r="S115">
        <f>_xlfn.XLOOKUP(Table1[[#This Row],[session_id]],[1]chats_with_feedback!$A:$A,[1]chats_with_feedback!$J:$J)</f>
        <v>1</v>
      </c>
      <c r="T115" t="str">
        <f>_xlfn.XLOOKUP(Table1[[#This Row],[csat_score]],Sheet2!A:A,Sheet2!D:D)</f>
        <v>Baja</v>
      </c>
      <c r="U115" t="str">
        <f>_xlfn.XLOOKUP(Table1[[#This Row],[nps_score]],Sheet2!B:B,Sheet2!E:E)</f>
        <v>detractor</v>
      </c>
      <c r="V115" t="str">
        <f>_xlfn.XLOOKUP(Table1[[#This Row],[resolution_numeric]],Sheet2!C:C,Sheet2!F:F)</f>
        <v>no</v>
      </c>
      <c r="W115">
        <f>1</f>
        <v>1</v>
      </c>
      <c r="X115">
        <f>IF(ISBLANK(Table1[[#This Row],[nps_category]]),0,1)</f>
        <v>1</v>
      </c>
    </row>
    <row r="116" spans="1:24" x14ac:dyDescent="0.25">
      <c r="A116" t="s">
        <v>189</v>
      </c>
      <c r="B116" t="s">
        <v>190</v>
      </c>
      <c r="C116" s="1">
        <v>46144</v>
      </c>
      <c r="D116" t="s">
        <v>22</v>
      </c>
      <c r="E116" t="b">
        <v>0</v>
      </c>
      <c r="F116">
        <v>1</v>
      </c>
      <c r="G116" s="2">
        <v>0.81944444444444442</v>
      </c>
      <c r="H116" t="s">
        <v>191</v>
      </c>
      <c r="I116" t="s">
        <v>191</v>
      </c>
      <c r="J116" t="s">
        <v>22</v>
      </c>
      <c r="K116" t="b">
        <v>0</v>
      </c>
      <c r="L116" t="b">
        <v>0</v>
      </c>
      <c r="M116">
        <v>5.7618</v>
      </c>
      <c r="N116">
        <v>5</v>
      </c>
      <c r="O116" t="s">
        <v>192</v>
      </c>
      <c r="P116">
        <v>0.38100000000000001</v>
      </c>
      <c r="Q116">
        <f>_xlfn.XLOOKUP(Table1[[#This Row],[session_id]],[1]chats_with_feedback!$A:$A,[1]chats_with_feedback!$F:$F)</f>
        <v>3</v>
      </c>
      <c r="R116">
        <f>_xlfn.XLOOKUP(Table1[[#This Row],[session_id]],[1]chats_with_feedback!$A:$A,[1]chats_with_feedback!$G:$G)</f>
        <v>7</v>
      </c>
      <c r="S116">
        <f>_xlfn.XLOOKUP(Table1[[#This Row],[session_id]],[1]chats_with_feedback!$A:$A,[1]chats_with_feedback!$J:$J)</f>
        <v>2</v>
      </c>
      <c r="T116" t="str">
        <f>_xlfn.XLOOKUP(Table1[[#This Row],[csat_score]],Sheet2!A:A,Sheet2!D:D)</f>
        <v>Media</v>
      </c>
      <c r="U116" t="str">
        <f>_xlfn.XLOOKUP(Table1[[#This Row],[nps_score]],Sheet2!B:B,Sheet2!E:E)</f>
        <v>passive</v>
      </c>
      <c r="V116" t="str">
        <f>_xlfn.XLOOKUP(Table1[[#This Row],[resolution_numeric]],Sheet2!C:C,Sheet2!F:F)</f>
        <v>partial</v>
      </c>
      <c r="W116">
        <f>1</f>
        <v>1</v>
      </c>
      <c r="X116">
        <f>IF(ISBLANK(Table1[[#This Row],[nps_category]]),0,1)</f>
        <v>1</v>
      </c>
    </row>
    <row r="117" spans="1:24" x14ac:dyDescent="0.25">
      <c r="A117" t="s">
        <v>193</v>
      </c>
      <c r="B117" t="s">
        <v>194</v>
      </c>
      <c r="C117" s="1">
        <v>46144</v>
      </c>
      <c r="D117" t="s">
        <v>45</v>
      </c>
      <c r="E117" t="b">
        <v>1</v>
      </c>
      <c r="F117">
        <v>1</v>
      </c>
      <c r="G117" s="2">
        <v>0.73055555555555551</v>
      </c>
      <c r="H117" t="s">
        <v>195</v>
      </c>
      <c r="I117" t="s">
        <v>195</v>
      </c>
      <c r="J117" t="s">
        <v>45</v>
      </c>
      <c r="K117" t="b">
        <v>1</v>
      </c>
      <c r="L117" t="b">
        <v>0</v>
      </c>
      <c r="M117">
        <v>5.9700666666666597</v>
      </c>
      <c r="N117">
        <v>5</v>
      </c>
      <c r="O117" t="s">
        <v>51</v>
      </c>
      <c r="P117">
        <v>0.24629999999999999</v>
      </c>
      <c r="Q117">
        <f>_xlfn.XLOOKUP(Table1[[#This Row],[session_id]],[1]chats_with_feedback!$A:$A,[1]chats_with_feedback!$F:$F)</f>
        <v>2</v>
      </c>
      <c r="R117">
        <f>_xlfn.XLOOKUP(Table1[[#This Row],[session_id]],[1]chats_with_feedback!$A:$A,[1]chats_with_feedback!$G:$G)</f>
        <v>3</v>
      </c>
      <c r="S117">
        <f>_xlfn.XLOOKUP(Table1[[#This Row],[session_id]],[1]chats_with_feedback!$A:$A,[1]chats_with_feedback!$J:$J)</f>
        <v>1</v>
      </c>
      <c r="T117" t="str">
        <f>_xlfn.XLOOKUP(Table1[[#This Row],[csat_score]],Sheet2!A:A,Sheet2!D:D)</f>
        <v>Baja</v>
      </c>
      <c r="U117" t="str">
        <f>_xlfn.XLOOKUP(Table1[[#This Row],[nps_score]],Sheet2!B:B,Sheet2!E:E)</f>
        <v>detractor</v>
      </c>
      <c r="V117" t="str">
        <f>_xlfn.XLOOKUP(Table1[[#This Row],[resolution_numeric]],Sheet2!C:C,Sheet2!F:F)</f>
        <v>no</v>
      </c>
      <c r="W117">
        <f>1</f>
        <v>1</v>
      </c>
      <c r="X117">
        <f>IF(ISBLANK(Table1[[#This Row],[nps_category]]),0,1)</f>
        <v>1</v>
      </c>
    </row>
    <row r="118" spans="1:24" x14ac:dyDescent="0.25">
      <c r="A118" t="s">
        <v>223</v>
      </c>
      <c r="B118" t="s">
        <v>224</v>
      </c>
      <c r="C118" s="1">
        <v>46144</v>
      </c>
      <c r="D118" t="s">
        <v>45</v>
      </c>
      <c r="E118" t="b">
        <v>1</v>
      </c>
      <c r="F118">
        <v>1</v>
      </c>
      <c r="G118" s="2">
        <v>0.55833333333333335</v>
      </c>
      <c r="H118" t="s">
        <v>225</v>
      </c>
      <c r="I118" t="s">
        <v>225</v>
      </c>
      <c r="J118" t="s">
        <v>45</v>
      </c>
      <c r="K118" t="b">
        <v>1</v>
      </c>
      <c r="L118" t="b">
        <v>0</v>
      </c>
      <c r="M118">
        <v>5.0481999999999996</v>
      </c>
      <c r="N118">
        <v>5</v>
      </c>
      <c r="O118" t="s">
        <v>226</v>
      </c>
      <c r="P118">
        <v>0.1983</v>
      </c>
      <c r="Q118">
        <f>_xlfn.XLOOKUP(Table1[[#This Row],[session_id]],[1]chats_with_feedback!$A:$A,[1]chats_with_feedback!$F:$F)</f>
        <v>2</v>
      </c>
      <c r="R118">
        <f>_xlfn.XLOOKUP(Table1[[#This Row],[session_id]],[1]chats_with_feedback!$A:$A,[1]chats_with_feedback!$G:$G)</f>
        <v>3</v>
      </c>
      <c r="S118">
        <f>_xlfn.XLOOKUP(Table1[[#This Row],[session_id]],[1]chats_with_feedback!$A:$A,[1]chats_with_feedback!$J:$J)</f>
        <v>1</v>
      </c>
      <c r="T118" t="str">
        <f>_xlfn.XLOOKUP(Table1[[#This Row],[csat_score]],Sheet2!A:A,Sheet2!D:D)</f>
        <v>Baja</v>
      </c>
      <c r="U118" t="str">
        <f>_xlfn.XLOOKUP(Table1[[#This Row],[nps_score]],Sheet2!B:B,Sheet2!E:E)</f>
        <v>detractor</v>
      </c>
      <c r="V118" t="str">
        <f>_xlfn.XLOOKUP(Table1[[#This Row],[resolution_numeric]],Sheet2!C:C,Sheet2!F:F)</f>
        <v>no</v>
      </c>
      <c r="W118">
        <f>1</f>
        <v>1</v>
      </c>
      <c r="X118">
        <f>IF(ISBLANK(Table1[[#This Row],[nps_category]]),0,1)</f>
        <v>1</v>
      </c>
    </row>
    <row r="119" spans="1:24" x14ac:dyDescent="0.25">
      <c r="A119" t="s">
        <v>238</v>
      </c>
      <c r="B119" t="s">
        <v>239</v>
      </c>
      <c r="C119" s="1">
        <v>46144</v>
      </c>
      <c r="D119" t="s">
        <v>22</v>
      </c>
      <c r="E119" t="b">
        <v>0</v>
      </c>
      <c r="F119">
        <v>1</v>
      </c>
      <c r="G119" s="2">
        <v>0.5756944444444444</v>
      </c>
      <c r="H119" t="s">
        <v>240</v>
      </c>
      <c r="I119" t="s">
        <v>240</v>
      </c>
      <c r="J119" t="s">
        <v>22</v>
      </c>
      <c r="K119" t="b">
        <v>0</v>
      </c>
      <c r="L119" t="b">
        <v>0</v>
      </c>
      <c r="M119">
        <v>5.7300666666666595</v>
      </c>
      <c r="N119">
        <v>5</v>
      </c>
      <c r="O119" t="s">
        <v>241</v>
      </c>
      <c r="P119">
        <v>0.57769999999999999</v>
      </c>
      <c r="Q119">
        <f>_xlfn.XLOOKUP(Table1[[#This Row],[session_id]],[1]chats_with_feedback!$A:$A,[1]chats_with_feedback!$F:$F)</f>
        <v>5</v>
      </c>
      <c r="R119">
        <f>_xlfn.XLOOKUP(Table1[[#This Row],[session_id]],[1]chats_with_feedback!$A:$A,[1]chats_with_feedback!$G:$G)</f>
        <v>10</v>
      </c>
      <c r="S119">
        <f>_xlfn.XLOOKUP(Table1[[#This Row],[session_id]],[1]chats_with_feedback!$A:$A,[1]chats_with_feedback!$J:$J)</f>
        <v>3</v>
      </c>
      <c r="T119" t="str">
        <f>_xlfn.XLOOKUP(Table1[[#This Row],[csat_score]],Sheet2!A:A,Sheet2!D:D)</f>
        <v>Alta</v>
      </c>
      <c r="U119" t="str">
        <f>_xlfn.XLOOKUP(Table1[[#This Row],[nps_score]],Sheet2!B:B,Sheet2!E:E)</f>
        <v>promoter</v>
      </c>
      <c r="V119" t="str">
        <f>_xlfn.XLOOKUP(Table1[[#This Row],[resolution_numeric]],Sheet2!C:C,Sheet2!F:F)</f>
        <v>yes</v>
      </c>
      <c r="W119">
        <f>1</f>
        <v>1</v>
      </c>
      <c r="X119">
        <f>IF(ISBLANK(Table1[[#This Row],[nps_category]]),0,1)</f>
        <v>1</v>
      </c>
    </row>
    <row r="120" spans="1:24" x14ac:dyDescent="0.25">
      <c r="A120" t="s">
        <v>254</v>
      </c>
      <c r="B120" t="s">
        <v>255</v>
      </c>
      <c r="C120" s="1">
        <v>46144</v>
      </c>
      <c r="D120" t="s">
        <v>22</v>
      </c>
      <c r="E120" t="b">
        <v>0</v>
      </c>
      <c r="F120">
        <v>1</v>
      </c>
      <c r="G120" s="2">
        <v>0.27291666666666664</v>
      </c>
      <c r="H120" t="s">
        <v>256</v>
      </c>
      <c r="I120" t="s">
        <v>256</v>
      </c>
      <c r="J120" t="s">
        <v>22</v>
      </c>
      <c r="K120" t="b">
        <v>0</v>
      </c>
      <c r="L120" t="b">
        <v>0</v>
      </c>
      <c r="M120">
        <v>5.42611666666666</v>
      </c>
      <c r="N120">
        <v>5</v>
      </c>
      <c r="O120" t="s">
        <v>24</v>
      </c>
      <c r="P120">
        <v>0.1968</v>
      </c>
      <c r="Q120">
        <f>_xlfn.XLOOKUP(Table1[[#This Row],[session_id]],[1]chats_with_feedback!$A:$A,[1]chats_with_feedback!$F:$F)</f>
        <v>2</v>
      </c>
      <c r="R120">
        <f>_xlfn.XLOOKUP(Table1[[#This Row],[session_id]],[1]chats_with_feedback!$A:$A,[1]chats_with_feedback!$G:$G)</f>
        <v>3</v>
      </c>
      <c r="S120">
        <f>_xlfn.XLOOKUP(Table1[[#This Row],[session_id]],[1]chats_with_feedback!$A:$A,[1]chats_with_feedback!$J:$J)</f>
        <v>1</v>
      </c>
      <c r="T120" t="str">
        <f>_xlfn.XLOOKUP(Table1[[#This Row],[csat_score]],Sheet2!A:A,Sheet2!D:D)</f>
        <v>Baja</v>
      </c>
      <c r="U120" t="str">
        <f>_xlfn.XLOOKUP(Table1[[#This Row],[nps_score]],Sheet2!B:B,Sheet2!E:E)</f>
        <v>detractor</v>
      </c>
      <c r="V120" t="str">
        <f>_xlfn.XLOOKUP(Table1[[#This Row],[resolution_numeric]],Sheet2!C:C,Sheet2!F:F)</f>
        <v>no</v>
      </c>
      <c r="W120">
        <f>1</f>
        <v>1</v>
      </c>
      <c r="X120">
        <f>IF(ISBLANK(Table1[[#This Row],[nps_category]]),0,1)</f>
        <v>1</v>
      </c>
    </row>
    <row r="121" spans="1:24" x14ac:dyDescent="0.25">
      <c r="A121" t="s">
        <v>257</v>
      </c>
      <c r="B121" t="s">
        <v>258</v>
      </c>
      <c r="C121" s="1">
        <v>46144</v>
      </c>
      <c r="D121" t="s">
        <v>45</v>
      </c>
      <c r="E121" t="b">
        <v>1</v>
      </c>
      <c r="F121">
        <v>1</v>
      </c>
      <c r="G121" s="2">
        <v>0.50624999999999998</v>
      </c>
      <c r="H121" t="s">
        <v>259</v>
      </c>
      <c r="I121" t="s">
        <v>259</v>
      </c>
      <c r="J121" t="s">
        <v>45</v>
      </c>
      <c r="K121" t="b">
        <v>1</v>
      </c>
      <c r="L121" t="b">
        <v>0</v>
      </c>
      <c r="M121">
        <v>4.6859666666666602</v>
      </c>
      <c r="N121">
        <v>5</v>
      </c>
      <c r="O121" t="s">
        <v>260</v>
      </c>
      <c r="P121">
        <v>0.26140000000000002</v>
      </c>
      <c r="Q121">
        <f>_xlfn.XLOOKUP(Table1[[#This Row],[session_id]],[1]chats_with_feedback!$A:$A,[1]chats_with_feedback!$F:$F)</f>
        <v>2</v>
      </c>
      <c r="R121">
        <f>_xlfn.XLOOKUP(Table1[[#This Row],[session_id]],[1]chats_with_feedback!$A:$A,[1]chats_with_feedback!$G:$G)</f>
        <v>3</v>
      </c>
      <c r="S121">
        <f>_xlfn.XLOOKUP(Table1[[#This Row],[session_id]],[1]chats_with_feedback!$A:$A,[1]chats_with_feedback!$J:$J)</f>
        <v>1</v>
      </c>
      <c r="T121" t="str">
        <f>_xlfn.XLOOKUP(Table1[[#This Row],[csat_score]],Sheet2!A:A,Sheet2!D:D)</f>
        <v>Baja</v>
      </c>
      <c r="U121" t="str">
        <f>_xlfn.XLOOKUP(Table1[[#This Row],[nps_score]],Sheet2!B:B,Sheet2!E:E)</f>
        <v>detractor</v>
      </c>
      <c r="V121" t="str">
        <f>_xlfn.XLOOKUP(Table1[[#This Row],[resolution_numeric]],Sheet2!C:C,Sheet2!F:F)</f>
        <v>no</v>
      </c>
      <c r="W121">
        <f>1</f>
        <v>1</v>
      </c>
      <c r="X121">
        <f>IF(ISBLANK(Table1[[#This Row],[nps_category]]),0,1)</f>
        <v>1</v>
      </c>
    </row>
    <row r="122" spans="1:24" x14ac:dyDescent="0.25">
      <c r="A122" t="s">
        <v>265</v>
      </c>
      <c r="B122" t="s">
        <v>266</v>
      </c>
      <c r="C122" s="1">
        <v>46144</v>
      </c>
      <c r="D122" t="s">
        <v>45</v>
      </c>
      <c r="E122" t="b">
        <v>1</v>
      </c>
      <c r="F122">
        <v>1</v>
      </c>
      <c r="G122" s="2">
        <v>0.63958333333333328</v>
      </c>
      <c r="H122" t="s">
        <v>267</v>
      </c>
      <c r="I122" t="s">
        <v>267</v>
      </c>
      <c r="J122" t="s">
        <v>45</v>
      </c>
      <c r="K122" t="b">
        <v>1</v>
      </c>
      <c r="L122" t="b">
        <v>0</v>
      </c>
      <c r="M122">
        <v>10.550666666666599</v>
      </c>
      <c r="N122">
        <v>5</v>
      </c>
      <c r="O122" t="s">
        <v>268</v>
      </c>
      <c r="P122">
        <v>0.56100000000000005</v>
      </c>
      <c r="Q122">
        <f>_xlfn.XLOOKUP(Table1[[#This Row],[session_id]],[1]chats_with_feedback!$A:$A,[1]chats_with_feedback!$F:$F)</f>
        <v>5</v>
      </c>
      <c r="R122">
        <f>_xlfn.XLOOKUP(Table1[[#This Row],[session_id]],[1]chats_with_feedback!$A:$A,[1]chats_with_feedback!$G:$G)</f>
        <v>10</v>
      </c>
      <c r="S122">
        <f>_xlfn.XLOOKUP(Table1[[#This Row],[session_id]],[1]chats_with_feedback!$A:$A,[1]chats_with_feedback!$J:$J)</f>
        <v>3</v>
      </c>
      <c r="T122" t="str">
        <f>_xlfn.XLOOKUP(Table1[[#This Row],[csat_score]],Sheet2!A:A,Sheet2!D:D)</f>
        <v>Alta</v>
      </c>
      <c r="U122" t="str">
        <f>_xlfn.XLOOKUP(Table1[[#This Row],[nps_score]],Sheet2!B:B,Sheet2!E:E)</f>
        <v>promoter</v>
      </c>
      <c r="V122" t="str">
        <f>_xlfn.XLOOKUP(Table1[[#This Row],[resolution_numeric]],Sheet2!C:C,Sheet2!F:F)</f>
        <v>yes</v>
      </c>
      <c r="W122">
        <f>1</f>
        <v>1</v>
      </c>
      <c r="X122">
        <f>IF(ISBLANK(Table1[[#This Row],[nps_category]]),0,1)</f>
        <v>1</v>
      </c>
    </row>
    <row r="123" spans="1:24" x14ac:dyDescent="0.25">
      <c r="A123" t="s">
        <v>270</v>
      </c>
      <c r="B123" t="s">
        <v>271</v>
      </c>
      <c r="C123" s="1">
        <v>46144</v>
      </c>
      <c r="D123" t="s">
        <v>45</v>
      </c>
      <c r="E123" t="b">
        <v>1</v>
      </c>
      <c r="F123">
        <v>1</v>
      </c>
      <c r="G123" s="2">
        <v>0.18958333333333333</v>
      </c>
      <c r="H123" t="s">
        <v>272</v>
      </c>
      <c r="I123" t="s">
        <v>272</v>
      </c>
      <c r="J123" t="s">
        <v>45</v>
      </c>
      <c r="K123" t="b">
        <v>1</v>
      </c>
      <c r="L123" t="b">
        <v>0</v>
      </c>
      <c r="M123">
        <v>3.3978999999999902</v>
      </c>
      <c r="N123">
        <v>5</v>
      </c>
      <c r="O123" t="s">
        <v>273</v>
      </c>
      <c r="P123">
        <v>0.33040000000000003</v>
      </c>
      <c r="Q123">
        <f>_xlfn.XLOOKUP(Table1[[#This Row],[session_id]],[1]chats_with_feedback!$A:$A,[1]chats_with_feedback!$F:$F)</f>
        <v>3</v>
      </c>
      <c r="R123">
        <f>_xlfn.XLOOKUP(Table1[[#This Row],[session_id]],[1]chats_with_feedback!$A:$A,[1]chats_with_feedback!$G:$G)</f>
        <v>7</v>
      </c>
      <c r="S123">
        <f>_xlfn.XLOOKUP(Table1[[#This Row],[session_id]],[1]chats_with_feedback!$A:$A,[1]chats_with_feedback!$J:$J)</f>
        <v>2</v>
      </c>
      <c r="T123" t="str">
        <f>_xlfn.XLOOKUP(Table1[[#This Row],[csat_score]],Sheet2!A:A,Sheet2!D:D)</f>
        <v>Media</v>
      </c>
      <c r="U123" t="str">
        <f>_xlfn.XLOOKUP(Table1[[#This Row],[nps_score]],Sheet2!B:B,Sheet2!E:E)</f>
        <v>passive</v>
      </c>
      <c r="V123" t="str">
        <f>_xlfn.XLOOKUP(Table1[[#This Row],[resolution_numeric]],Sheet2!C:C,Sheet2!F:F)</f>
        <v>partial</v>
      </c>
      <c r="W123">
        <f>1</f>
        <v>1</v>
      </c>
      <c r="X123">
        <f>IF(ISBLANK(Table1[[#This Row],[nps_category]]),0,1)</f>
        <v>1</v>
      </c>
    </row>
    <row r="124" spans="1:24" x14ac:dyDescent="0.25">
      <c r="A124" t="s">
        <v>274</v>
      </c>
      <c r="B124" t="s">
        <v>275</v>
      </c>
      <c r="C124" s="1">
        <v>46144</v>
      </c>
      <c r="D124" t="s">
        <v>45</v>
      </c>
      <c r="E124" t="b">
        <v>1</v>
      </c>
      <c r="F124">
        <v>1</v>
      </c>
      <c r="G124" s="2">
        <v>0.90208333333333335</v>
      </c>
      <c r="H124" t="s">
        <v>276</v>
      </c>
      <c r="I124" t="s">
        <v>276</v>
      </c>
      <c r="J124" t="s">
        <v>45</v>
      </c>
      <c r="K124" t="b">
        <v>1</v>
      </c>
      <c r="L124" t="b">
        <v>0</v>
      </c>
      <c r="M124">
        <v>5.1285833333333297</v>
      </c>
      <c r="N124">
        <v>5</v>
      </c>
      <c r="O124" t="s">
        <v>133</v>
      </c>
      <c r="P124">
        <v>0.41470000000000001</v>
      </c>
      <c r="Q124">
        <f>_xlfn.XLOOKUP(Table1[[#This Row],[session_id]],[1]chats_with_feedback!$A:$A,[1]chats_with_feedback!$F:$F)</f>
        <v>3</v>
      </c>
      <c r="R124">
        <f>_xlfn.XLOOKUP(Table1[[#This Row],[session_id]],[1]chats_with_feedback!$A:$A,[1]chats_with_feedback!$G:$G)</f>
        <v>7</v>
      </c>
      <c r="S124">
        <f>_xlfn.XLOOKUP(Table1[[#This Row],[session_id]],[1]chats_with_feedback!$A:$A,[1]chats_with_feedback!$J:$J)</f>
        <v>2</v>
      </c>
      <c r="T124" t="str">
        <f>_xlfn.XLOOKUP(Table1[[#This Row],[csat_score]],Sheet2!A:A,Sheet2!D:D)</f>
        <v>Media</v>
      </c>
      <c r="U124" t="str">
        <f>_xlfn.XLOOKUP(Table1[[#This Row],[nps_score]],Sheet2!B:B,Sheet2!E:E)</f>
        <v>passive</v>
      </c>
      <c r="V124" t="str">
        <f>_xlfn.XLOOKUP(Table1[[#This Row],[resolution_numeric]],Sheet2!C:C,Sheet2!F:F)</f>
        <v>partial</v>
      </c>
      <c r="W124">
        <f>1</f>
        <v>1</v>
      </c>
      <c r="X124">
        <f>IF(ISBLANK(Table1[[#This Row],[nps_category]]),0,1)</f>
        <v>1</v>
      </c>
    </row>
    <row r="125" spans="1:24" x14ac:dyDescent="0.25">
      <c r="A125" t="s">
        <v>277</v>
      </c>
      <c r="B125" t="s">
        <v>278</v>
      </c>
      <c r="C125" s="1">
        <v>46144</v>
      </c>
      <c r="D125" t="s">
        <v>22</v>
      </c>
      <c r="E125" t="b">
        <v>0</v>
      </c>
      <c r="F125">
        <v>1</v>
      </c>
      <c r="G125" s="2">
        <v>0.8305555555555556</v>
      </c>
      <c r="H125" t="s">
        <v>279</v>
      </c>
      <c r="I125" t="s">
        <v>279</v>
      </c>
      <c r="J125" t="s">
        <v>22</v>
      </c>
      <c r="K125" t="b">
        <v>0</v>
      </c>
      <c r="L125" t="b">
        <v>0</v>
      </c>
      <c r="M125">
        <v>7.4256500000000001</v>
      </c>
      <c r="N125">
        <v>5</v>
      </c>
      <c r="O125" t="s">
        <v>280</v>
      </c>
      <c r="P125">
        <v>0.3543</v>
      </c>
      <c r="Q125">
        <f>_xlfn.XLOOKUP(Table1[[#This Row],[session_id]],[1]chats_with_feedback!$A:$A,[1]chats_with_feedback!$F:$F)</f>
        <v>3</v>
      </c>
      <c r="R125">
        <f>_xlfn.XLOOKUP(Table1[[#This Row],[session_id]],[1]chats_with_feedback!$A:$A,[1]chats_with_feedback!$G:$G)</f>
        <v>7</v>
      </c>
      <c r="S125">
        <f>_xlfn.XLOOKUP(Table1[[#This Row],[session_id]],[1]chats_with_feedback!$A:$A,[1]chats_with_feedback!$J:$J)</f>
        <v>2</v>
      </c>
      <c r="T125" t="str">
        <f>_xlfn.XLOOKUP(Table1[[#This Row],[csat_score]],Sheet2!A:A,Sheet2!D:D)</f>
        <v>Media</v>
      </c>
      <c r="U125" t="str">
        <f>_xlfn.XLOOKUP(Table1[[#This Row],[nps_score]],Sheet2!B:B,Sheet2!E:E)</f>
        <v>passive</v>
      </c>
      <c r="V125" t="str">
        <f>_xlfn.XLOOKUP(Table1[[#This Row],[resolution_numeric]],Sheet2!C:C,Sheet2!F:F)</f>
        <v>partial</v>
      </c>
      <c r="W125">
        <f>1</f>
        <v>1</v>
      </c>
      <c r="X125">
        <f>IF(ISBLANK(Table1[[#This Row],[nps_category]]),0,1)</f>
        <v>1</v>
      </c>
    </row>
    <row r="126" spans="1:24" x14ac:dyDescent="0.25">
      <c r="A126" t="s">
        <v>282</v>
      </c>
      <c r="B126" t="s">
        <v>283</v>
      </c>
      <c r="C126" s="1">
        <v>46144</v>
      </c>
      <c r="D126" t="s">
        <v>22</v>
      </c>
      <c r="E126" t="b">
        <v>0</v>
      </c>
      <c r="F126">
        <v>1</v>
      </c>
      <c r="G126" s="2">
        <v>0.58750000000000002</v>
      </c>
      <c r="H126" t="s">
        <v>284</v>
      </c>
      <c r="I126" t="s">
        <v>284</v>
      </c>
      <c r="J126" t="s">
        <v>22</v>
      </c>
      <c r="K126" t="b">
        <v>0</v>
      </c>
      <c r="L126" t="b">
        <v>0</v>
      </c>
      <c r="M126">
        <v>6.3853</v>
      </c>
      <c r="N126">
        <v>5</v>
      </c>
      <c r="O126" t="s">
        <v>285</v>
      </c>
      <c r="P126">
        <v>0.63190000000000002</v>
      </c>
      <c r="Q126">
        <f>_xlfn.XLOOKUP(Table1[[#This Row],[session_id]],[1]chats_with_feedback!$A:$A,[1]chats_with_feedback!$F:$F)</f>
        <v>5</v>
      </c>
      <c r="R126">
        <f>_xlfn.XLOOKUP(Table1[[#This Row],[session_id]],[1]chats_with_feedback!$A:$A,[1]chats_with_feedback!$G:$G)</f>
        <v>10</v>
      </c>
      <c r="S126">
        <f>_xlfn.XLOOKUP(Table1[[#This Row],[session_id]],[1]chats_with_feedback!$A:$A,[1]chats_with_feedback!$J:$J)</f>
        <v>3</v>
      </c>
      <c r="T126" t="str">
        <f>_xlfn.XLOOKUP(Table1[[#This Row],[csat_score]],Sheet2!A:A,Sheet2!D:D)</f>
        <v>Alta</v>
      </c>
      <c r="U126" t="str">
        <f>_xlfn.XLOOKUP(Table1[[#This Row],[nps_score]],Sheet2!B:B,Sheet2!E:E)</f>
        <v>promoter</v>
      </c>
      <c r="V126" t="str">
        <f>_xlfn.XLOOKUP(Table1[[#This Row],[resolution_numeric]],Sheet2!C:C,Sheet2!F:F)</f>
        <v>yes</v>
      </c>
      <c r="W126">
        <f>1</f>
        <v>1</v>
      </c>
      <c r="X126">
        <f>IF(ISBLANK(Table1[[#This Row],[nps_category]]),0,1)</f>
        <v>1</v>
      </c>
    </row>
    <row r="127" spans="1:24" x14ac:dyDescent="0.25">
      <c r="A127" t="s">
        <v>297</v>
      </c>
      <c r="B127" t="s">
        <v>298</v>
      </c>
      <c r="C127" s="1">
        <v>46144</v>
      </c>
      <c r="D127" t="s">
        <v>22</v>
      </c>
      <c r="E127" t="b">
        <v>0</v>
      </c>
      <c r="F127">
        <v>1</v>
      </c>
      <c r="G127" s="2">
        <v>0.49027777777777776</v>
      </c>
      <c r="H127" t="s">
        <v>299</v>
      </c>
      <c r="I127" t="s">
        <v>299</v>
      </c>
      <c r="J127" t="s">
        <v>22</v>
      </c>
      <c r="K127" t="b">
        <v>0</v>
      </c>
      <c r="L127" t="b">
        <v>0</v>
      </c>
      <c r="M127">
        <v>5.9357333333333298</v>
      </c>
      <c r="N127">
        <v>5</v>
      </c>
      <c r="O127" t="s">
        <v>300</v>
      </c>
      <c r="P127">
        <v>0.3135</v>
      </c>
      <c r="Q127">
        <f>_xlfn.XLOOKUP(Table1[[#This Row],[session_id]],[1]chats_with_feedback!$A:$A,[1]chats_with_feedback!$F:$F)</f>
        <v>3</v>
      </c>
      <c r="R127">
        <f>_xlfn.XLOOKUP(Table1[[#This Row],[session_id]],[1]chats_with_feedback!$A:$A,[1]chats_with_feedback!$G:$G)</f>
        <v>7</v>
      </c>
      <c r="S127">
        <f>_xlfn.XLOOKUP(Table1[[#This Row],[session_id]],[1]chats_with_feedback!$A:$A,[1]chats_with_feedback!$J:$J)</f>
        <v>2</v>
      </c>
      <c r="T127" t="str">
        <f>_xlfn.XLOOKUP(Table1[[#This Row],[csat_score]],Sheet2!A:A,Sheet2!D:D)</f>
        <v>Media</v>
      </c>
      <c r="U127" t="str">
        <f>_xlfn.XLOOKUP(Table1[[#This Row],[nps_score]],Sheet2!B:B,Sheet2!E:E)</f>
        <v>passive</v>
      </c>
      <c r="V127" t="str">
        <f>_xlfn.XLOOKUP(Table1[[#This Row],[resolution_numeric]],Sheet2!C:C,Sheet2!F:F)</f>
        <v>partial</v>
      </c>
      <c r="W127">
        <f>1</f>
        <v>1</v>
      </c>
      <c r="X127">
        <f>IF(ISBLANK(Table1[[#This Row],[nps_category]]),0,1)</f>
        <v>1</v>
      </c>
    </row>
    <row r="128" spans="1:24" x14ac:dyDescent="0.25">
      <c r="A128" t="s">
        <v>332</v>
      </c>
      <c r="B128" t="s">
        <v>333</v>
      </c>
      <c r="C128" s="1">
        <v>46144</v>
      </c>
      <c r="D128" t="s">
        <v>22</v>
      </c>
      <c r="E128" t="b">
        <v>0</v>
      </c>
      <c r="F128">
        <v>1</v>
      </c>
      <c r="G128" s="2">
        <v>0.77638888888888891</v>
      </c>
      <c r="H128" t="s">
        <v>334</v>
      </c>
      <c r="I128" t="s">
        <v>334</v>
      </c>
      <c r="J128" t="s">
        <v>22</v>
      </c>
      <c r="K128" t="b">
        <v>0</v>
      </c>
      <c r="L128" t="b">
        <v>0</v>
      </c>
      <c r="M128">
        <v>3.6010499999999905</v>
      </c>
      <c r="N128">
        <v>5</v>
      </c>
      <c r="O128" t="s">
        <v>335</v>
      </c>
      <c r="P128">
        <v>0.2112</v>
      </c>
      <c r="Q128">
        <f>_xlfn.XLOOKUP(Table1[[#This Row],[session_id]],[1]chats_with_feedback!$A:$A,[1]chats_with_feedback!$F:$F)</f>
        <v>2</v>
      </c>
      <c r="R128">
        <f>_xlfn.XLOOKUP(Table1[[#This Row],[session_id]],[1]chats_with_feedback!$A:$A,[1]chats_with_feedback!$G:$G)</f>
        <v>3</v>
      </c>
      <c r="S128">
        <f>_xlfn.XLOOKUP(Table1[[#This Row],[session_id]],[1]chats_with_feedback!$A:$A,[1]chats_with_feedback!$J:$J)</f>
        <v>1</v>
      </c>
      <c r="T128" t="str">
        <f>_xlfn.XLOOKUP(Table1[[#This Row],[csat_score]],Sheet2!A:A,Sheet2!D:D)</f>
        <v>Baja</v>
      </c>
      <c r="U128" t="str">
        <f>_xlfn.XLOOKUP(Table1[[#This Row],[nps_score]],Sheet2!B:B,Sheet2!E:E)</f>
        <v>detractor</v>
      </c>
      <c r="V128" t="str">
        <f>_xlfn.XLOOKUP(Table1[[#This Row],[resolution_numeric]],Sheet2!C:C,Sheet2!F:F)</f>
        <v>no</v>
      </c>
      <c r="W128">
        <f>1</f>
        <v>1</v>
      </c>
      <c r="X128">
        <f>IF(ISBLANK(Table1[[#This Row],[nps_category]]),0,1)</f>
        <v>1</v>
      </c>
    </row>
    <row r="129" spans="1:24" x14ac:dyDescent="0.25">
      <c r="A129" t="s">
        <v>341</v>
      </c>
      <c r="B129" t="s">
        <v>342</v>
      </c>
      <c r="C129" s="1">
        <v>46144</v>
      </c>
      <c r="D129" t="s">
        <v>45</v>
      </c>
      <c r="E129" t="b">
        <v>1</v>
      </c>
      <c r="F129">
        <v>1</v>
      </c>
      <c r="G129" s="2">
        <v>0.41875000000000001</v>
      </c>
      <c r="H129" t="s">
        <v>343</v>
      </c>
      <c r="I129" t="s">
        <v>343</v>
      </c>
      <c r="J129" t="s">
        <v>45</v>
      </c>
      <c r="K129" t="b">
        <v>1</v>
      </c>
      <c r="L129" t="b">
        <v>0</v>
      </c>
      <c r="M129">
        <v>6.78548333333333</v>
      </c>
      <c r="N129">
        <v>5</v>
      </c>
      <c r="O129" t="s">
        <v>344</v>
      </c>
      <c r="P129">
        <v>0.50860000000000005</v>
      </c>
      <c r="Q129">
        <f>_xlfn.XLOOKUP(Table1[[#This Row],[session_id]],[1]chats_with_feedback!$A:$A,[1]chats_with_feedback!$F:$F)</f>
        <v>5</v>
      </c>
      <c r="R129">
        <f>_xlfn.XLOOKUP(Table1[[#This Row],[session_id]],[1]chats_with_feedback!$A:$A,[1]chats_with_feedback!$G:$G)</f>
        <v>10</v>
      </c>
      <c r="S129">
        <f>_xlfn.XLOOKUP(Table1[[#This Row],[session_id]],[1]chats_with_feedback!$A:$A,[1]chats_with_feedback!$J:$J)</f>
        <v>3</v>
      </c>
      <c r="T129" t="str">
        <f>_xlfn.XLOOKUP(Table1[[#This Row],[csat_score]],Sheet2!A:A,Sheet2!D:D)</f>
        <v>Alta</v>
      </c>
      <c r="U129" t="str">
        <f>_xlfn.XLOOKUP(Table1[[#This Row],[nps_score]],Sheet2!B:B,Sheet2!E:E)</f>
        <v>promoter</v>
      </c>
      <c r="V129" t="str">
        <f>_xlfn.XLOOKUP(Table1[[#This Row],[resolution_numeric]],Sheet2!C:C,Sheet2!F:F)</f>
        <v>yes</v>
      </c>
      <c r="W129">
        <f>1</f>
        <v>1</v>
      </c>
      <c r="X129">
        <f>IF(ISBLANK(Table1[[#This Row],[nps_category]]),0,1)</f>
        <v>1</v>
      </c>
    </row>
    <row r="130" spans="1:24" x14ac:dyDescent="0.25">
      <c r="A130" t="s">
        <v>352</v>
      </c>
      <c r="B130" t="s">
        <v>353</v>
      </c>
      <c r="C130" s="1">
        <v>46144</v>
      </c>
      <c r="D130" t="s">
        <v>22</v>
      </c>
      <c r="E130" t="b">
        <v>0</v>
      </c>
      <c r="F130">
        <v>1</v>
      </c>
      <c r="G130" s="2">
        <v>0.42499999999999999</v>
      </c>
      <c r="H130" t="s">
        <v>354</v>
      </c>
      <c r="I130" t="s">
        <v>354</v>
      </c>
      <c r="J130" t="s">
        <v>22</v>
      </c>
      <c r="K130" t="b">
        <v>0</v>
      </c>
      <c r="L130" t="b">
        <v>0</v>
      </c>
      <c r="M130">
        <v>7.0458333333333307</v>
      </c>
      <c r="N130">
        <v>5</v>
      </c>
      <c r="O130" t="s">
        <v>355</v>
      </c>
      <c r="P130">
        <v>0.68940000000000001</v>
      </c>
      <c r="Q130">
        <f>_xlfn.XLOOKUP(Table1[[#This Row],[session_id]],[1]chats_with_feedback!$A:$A,[1]chats_with_feedback!$F:$F)</f>
        <v>5</v>
      </c>
      <c r="R130">
        <f>_xlfn.XLOOKUP(Table1[[#This Row],[session_id]],[1]chats_with_feedback!$A:$A,[1]chats_with_feedback!$G:$G)</f>
        <v>10</v>
      </c>
      <c r="S130">
        <f>_xlfn.XLOOKUP(Table1[[#This Row],[session_id]],[1]chats_with_feedback!$A:$A,[1]chats_with_feedback!$J:$J)</f>
        <v>3</v>
      </c>
      <c r="T130" t="str">
        <f>_xlfn.XLOOKUP(Table1[[#This Row],[csat_score]],Sheet2!A:A,Sheet2!D:D)</f>
        <v>Alta</v>
      </c>
      <c r="U130" t="str">
        <f>_xlfn.XLOOKUP(Table1[[#This Row],[nps_score]],Sheet2!B:B,Sheet2!E:E)</f>
        <v>promoter</v>
      </c>
      <c r="V130" t="str">
        <f>_xlfn.XLOOKUP(Table1[[#This Row],[resolution_numeric]],Sheet2!C:C,Sheet2!F:F)</f>
        <v>yes</v>
      </c>
      <c r="W130">
        <f>1</f>
        <v>1</v>
      </c>
      <c r="X130">
        <f>IF(ISBLANK(Table1[[#This Row],[nps_category]]),0,1)</f>
        <v>1</v>
      </c>
    </row>
    <row r="131" spans="1:24" x14ac:dyDescent="0.25">
      <c r="A131" t="s">
        <v>369</v>
      </c>
      <c r="B131" t="s">
        <v>370</v>
      </c>
      <c r="C131" s="1">
        <v>46144</v>
      </c>
      <c r="D131" t="s">
        <v>45</v>
      </c>
      <c r="E131" t="b">
        <v>1</v>
      </c>
      <c r="F131">
        <v>1</v>
      </c>
      <c r="G131" s="2">
        <v>0.94861111111111107</v>
      </c>
      <c r="H131" t="s">
        <v>371</v>
      </c>
      <c r="I131" t="s">
        <v>371</v>
      </c>
      <c r="J131" t="s">
        <v>45</v>
      </c>
      <c r="K131" t="b">
        <v>1</v>
      </c>
      <c r="L131" t="b">
        <v>0</v>
      </c>
      <c r="M131">
        <v>4.4673999999999996</v>
      </c>
      <c r="N131">
        <v>5</v>
      </c>
      <c r="O131" t="s">
        <v>32</v>
      </c>
      <c r="P131">
        <v>0.29499999999999998</v>
      </c>
      <c r="Q131">
        <f>_xlfn.XLOOKUP(Table1[[#This Row],[session_id]],[1]chats_with_feedback!$A:$A,[1]chats_with_feedback!$F:$F)</f>
        <v>3</v>
      </c>
      <c r="R131">
        <f>_xlfn.XLOOKUP(Table1[[#This Row],[session_id]],[1]chats_with_feedback!$A:$A,[1]chats_with_feedback!$G:$G)</f>
        <v>7</v>
      </c>
      <c r="S131">
        <f>_xlfn.XLOOKUP(Table1[[#This Row],[session_id]],[1]chats_with_feedback!$A:$A,[1]chats_with_feedback!$J:$J)</f>
        <v>2</v>
      </c>
      <c r="T131" t="str">
        <f>_xlfn.XLOOKUP(Table1[[#This Row],[csat_score]],Sheet2!A:A,Sheet2!D:D)</f>
        <v>Media</v>
      </c>
      <c r="U131" t="str">
        <f>_xlfn.XLOOKUP(Table1[[#This Row],[nps_score]],Sheet2!B:B,Sheet2!E:E)</f>
        <v>passive</v>
      </c>
      <c r="V131" t="str">
        <f>_xlfn.XLOOKUP(Table1[[#This Row],[resolution_numeric]],Sheet2!C:C,Sheet2!F:F)</f>
        <v>partial</v>
      </c>
      <c r="W131">
        <f>1</f>
        <v>1</v>
      </c>
      <c r="X131">
        <f>IF(ISBLANK(Table1[[#This Row],[nps_category]]),0,1)</f>
        <v>1</v>
      </c>
    </row>
    <row r="132" spans="1:24" x14ac:dyDescent="0.25">
      <c r="A132" t="s">
        <v>382</v>
      </c>
      <c r="B132" t="s">
        <v>383</v>
      </c>
      <c r="C132" s="1">
        <v>46144</v>
      </c>
      <c r="D132" t="s">
        <v>22</v>
      </c>
      <c r="E132" t="b">
        <v>0</v>
      </c>
      <c r="F132">
        <v>1</v>
      </c>
      <c r="G132" s="2">
        <v>0.84166666666666667</v>
      </c>
      <c r="H132" t="s">
        <v>384</v>
      </c>
      <c r="I132" t="s">
        <v>384</v>
      </c>
      <c r="J132" t="s">
        <v>22</v>
      </c>
      <c r="K132" t="b">
        <v>0</v>
      </c>
      <c r="L132" t="b">
        <v>0</v>
      </c>
      <c r="M132">
        <v>4.3987666666666607</v>
      </c>
      <c r="N132">
        <v>5</v>
      </c>
      <c r="O132" t="s">
        <v>63</v>
      </c>
      <c r="P132">
        <v>0.28420000000000001</v>
      </c>
      <c r="Q132">
        <f>_xlfn.XLOOKUP(Table1[[#This Row],[session_id]],[1]chats_with_feedback!$A:$A,[1]chats_with_feedback!$F:$F)</f>
        <v>3</v>
      </c>
      <c r="R132">
        <f>_xlfn.XLOOKUP(Table1[[#This Row],[session_id]],[1]chats_with_feedback!$A:$A,[1]chats_with_feedback!$G:$G)</f>
        <v>7</v>
      </c>
      <c r="S132">
        <f>_xlfn.XLOOKUP(Table1[[#This Row],[session_id]],[1]chats_with_feedback!$A:$A,[1]chats_with_feedback!$J:$J)</f>
        <v>2</v>
      </c>
      <c r="T132" t="str">
        <f>_xlfn.XLOOKUP(Table1[[#This Row],[csat_score]],Sheet2!A:A,Sheet2!D:D)</f>
        <v>Media</v>
      </c>
      <c r="U132" t="str">
        <f>_xlfn.XLOOKUP(Table1[[#This Row],[nps_score]],Sheet2!B:B,Sheet2!E:E)</f>
        <v>passive</v>
      </c>
      <c r="V132" t="str">
        <f>_xlfn.XLOOKUP(Table1[[#This Row],[resolution_numeric]],Sheet2!C:C,Sheet2!F:F)</f>
        <v>partial</v>
      </c>
      <c r="W132">
        <f>1</f>
        <v>1</v>
      </c>
      <c r="X132">
        <f>IF(ISBLANK(Table1[[#This Row],[nps_category]]),0,1)</f>
        <v>1</v>
      </c>
    </row>
    <row r="133" spans="1:24" x14ac:dyDescent="0.25">
      <c r="A133" t="s">
        <v>385</v>
      </c>
      <c r="B133" t="s">
        <v>386</v>
      </c>
      <c r="C133" s="1">
        <v>46144</v>
      </c>
      <c r="D133" t="s">
        <v>45</v>
      </c>
      <c r="E133" t="b">
        <v>1</v>
      </c>
      <c r="F133">
        <v>1</v>
      </c>
      <c r="G133" s="2">
        <v>0.85</v>
      </c>
      <c r="H133" t="s">
        <v>387</v>
      </c>
      <c r="I133" t="s">
        <v>387</v>
      </c>
      <c r="J133" t="s">
        <v>45</v>
      </c>
      <c r="K133" t="b">
        <v>1</v>
      </c>
      <c r="L133" t="b">
        <v>0</v>
      </c>
      <c r="M133">
        <v>3.51416666666666</v>
      </c>
      <c r="N133">
        <v>5</v>
      </c>
      <c r="O133" t="s">
        <v>229</v>
      </c>
      <c r="P133">
        <v>0.2576</v>
      </c>
      <c r="Q133">
        <f>_xlfn.XLOOKUP(Table1[[#This Row],[session_id]],[1]chats_with_feedback!$A:$A,[1]chats_with_feedback!$F:$F)</f>
        <v>2</v>
      </c>
      <c r="R133">
        <f>_xlfn.XLOOKUP(Table1[[#This Row],[session_id]],[1]chats_with_feedback!$A:$A,[1]chats_with_feedback!$G:$G)</f>
        <v>3</v>
      </c>
      <c r="S133">
        <f>_xlfn.XLOOKUP(Table1[[#This Row],[session_id]],[1]chats_with_feedback!$A:$A,[1]chats_with_feedback!$J:$J)</f>
        <v>1</v>
      </c>
      <c r="T133" t="str">
        <f>_xlfn.XLOOKUP(Table1[[#This Row],[csat_score]],Sheet2!A:A,Sheet2!D:D)</f>
        <v>Baja</v>
      </c>
      <c r="U133" t="str">
        <f>_xlfn.XLOOKUP(Table1[[#This Row],[nps_score]],Sheet2!B:B,Sheet2!E:E)</f>
        <v>detractor</v>
      </c>
      <c r="V133" t="str">
        <f>_xlfn.XLOOKUP(Table1[[#This Row],[resolution_numeric]],Sheet2!C:C,Sheet2!F:F)</f>
        <v>no</v>
      </c>
      <c r="W133">
        <f>1</f>
        <v>1</v>
      </c>
      <c r="X133">
        <f>IF(ISBLANK(Table1[[#This Row],[nps_category]]),0,1)</f>
        <v>1</v>
      </c>
    </row>
    <row r="134" spans="1:24" x14ac:dyDescent="0.25">
      <c r="A134" t="s">
        <v>402</v>
      </c>
      <c r="B134" t="s">
        <v>403</v>
      </c>
      <c r="C134" s="1">
        <v>46144</v>
      </c>
      <c r="D134" t="s">
        <v>22</v>
      </c>
      <c r="E134" t="b">
        <v>0</v>
      </c>
      <c r="F134">
        <v>1</v>
      </c>
      <c r="G134" s="2">
        <v>0.43472222222222223</v>
      </c>
      <c r="H134" t="s">
        <v>404</v>
      </c>
      <c r="I134" t="s">
        <v>404</v>
      </c>
      <c r="J134" t="s">
        <v>22</v>
      </c>
      <c r="K134" t="b">
        <v>0</v>
      </c>
      <c r="L134" t="b">
        <v>0</v>
      </c>
      <c r="M134">
        <v>5.08774999999999</v>
      </c>
      <c r="N134">
        <v>5</v>
      </c>
      <c r="O134" t="s">
        <v>84</v>
      </c>
      <c r="P134">
        <v>0.47720000000000001</v>
      </c>
      <c r="Q134">
        <f>_xlfn.XLOOKUP(Table1[[#This Row],[session_id]],[1]chats_with_feedback!$A:$A,[1]chats_with_feedback!$F:$F)</f>
        <v>5</v>
      </c>
      <c r="R134">
        <f>_xlfn.XLOOKUP(Table1[[#This Row],[session_id]],[1]chats_with_feedback!$A:$A,[1]chats_with_feedback!$G:$G)</f>
        <v>10</v>
      </c>
      <c r="S134">
        <f>_xlfn.XLOOKUP(Table1[[#This Row],[session_id]],[1]chats_with_feedback!$A:$A,[1]chats_with_feedback!$J:$J)</f>
        <v>3</v>
      </c>
      <c r="T134" t="str">
        <f>_xlfn.XLOOKUP(Table1[[#This Row],[csat_score]],Sheet2!A:A,Sheet2!D:D)</f>
        <v>Alta</v>
      </c>
      <c r="U134" t="str">
        <f>_xlfn.XLOOKUP(Table1[[#This Row],[nps_score]],Sheet2!B:B,Sheet2!E:E)</f>
        <v>promoter</v>
      </c>
      <c r="V134" t="str">
        <f>_xlfn.XLOOKUP(Table1[[#This Row],[resolution_numeric]],Sheet2!C:C,Sheet2!F:F)</f>
        <v>yes</v>
      </c>
      <c r="W134">
        <f>1</f>
        <v>1</v>
      </c>
      <c r="X134">
        <f>IF(ISBLANK(Table1[[#This Row],[nps_category]]),0,1)</f>
        <v>1</v>
      </c>
    </row>
    <row r="135" spans="1:24" x14ac:dyDescent="0.25">
      <c r="A135" t="s">
        <v>405</v>
      </c>
      <c r="B135" t="s">
        <v>406</v>
      </c>
      <c r="C135" s="1">
        <v>46144</v>
      </c>
      <c r="D135" t="s">
        <v>45</v>
      </c>
      <c r="E135" t="b">
        <v>1</v>
      </c>
      <c r="F135">
        <v>1</v>
      </c>
      <c r="G135" s="2">
        <v>0.91319444444444442</v>
      </c>
      <c r="H135" t="s">
        <v>407</v>
      </c>
      <c r="I135" t="s">
        <v>407</v>
      </c>
      <c r="J135" t="s">
        <v>45</v>
      </c>
      <c r="K135" t="b">
        <v>1</v>
      </c>
      <c r="L135" t="b">
        <v>0</v>
      </c>
      <c r="M135">
        <v>4.0579166666666602</v>
      </c>
      <c r="N135">
        <v>5</v>
      </c>
      <c r="O135" t="s">
        <v>106</v>
      </c>
      <c r="P135">
        <v>0.99939999999999996</v>
      </c>
      <c r="Q135">
        <f>_xlfn.XLOOKUP(Table1[[#This Row],[session_id]],[1]chats_with_feedback!$A:$A,[1]chats_with_feedback!$F:$F)</f>
        <v>5</v>
      </c>
      <c r="R135">
        <f>_xlfn.XLOOKUP(Table1[[#This Row],[session_id]],[1]chats_with_feedback!$A:$A,[1]chats_with_feedback!$G:$G)</f>
        <v>10</v>
      </c>
      <c r="S135">
        <f>_xlfn.XLOOKUP(Table1[[#This Row],[session_id]],[1]chats_with_feedback!$A:$A,[1]chats_with_feedback!$J:$J)</f>
        <v>3</v>
      </c>
      <c r="T135" t="str">
        <f>_xlfn.XLOOKUP(Table1[[#This Row],[csat_score]],Sheet2!A:A,Sheet2!D:D)</f>
        <v>Alta</v>
      </c>
      <c r="U135" t="str">
        <f>_xlfn.XLOOKUP(Table1[[#This Row],[nps_score]],Sheet2!B:B,Sheet2!E:E)</f>
        <v>promoter</v>
      </c>
      <c r="V135" t="str">
        <f>_xlfn.XLOOKUP(Table1[[#This Row],[resolution_numeric]],Sheet2!C:C,Sheet2!F:F)</f>
        <v>yes</v>
      </c>
      <c r="W135">
        <f>1</f>
        <v>1</v>
      </c>
      <c r="X135">
        <f>IF(ISBLANK(Table1[[#This Row],[nps_category]]),0,1)</f>
        <v>1</v>
      </c>
    </row>
    <row r="136" spans="1:24" x14ac:dyDescent="0.25">
      <c r="A136" s="3" t="s">
        <v>408</v>
      </c>
      <c r="B136" t="s">
        <v>409</v>
      </c>
      <c r="C136" s="1">
        <v>46144</v>
      </c>
      <c r="D136" t="s">
        <v>45</v>
      </c>
      <c r="E136" t="b">
        <v>1</v>
      </c>
      <c r="F136">
        <v>1</v>
      </c>
      <c r="G136" s="2">
        <v>0.40763888888888888</v>
      </c>
      <c r="H136" t="s">
        <v>410</v>
      </c>
      <c r="I136" t="s">
        <v>410</v>
      </c>
      <c r="J136" t="s">
        <v>45</v>
      </c>
      <c r="K136" t="b">
        <v>1</v>
      </c>
      <c r="L136" t="b">
        <v>0</v>
      </c>
      <c r="M136">
        <v>30.0584666666666</v>
      </c>
      <c r="N136">
        <v>5</v>
      </c>
      <c r="O136" t="s">
        <v>411</v>
      </c>
      <c r="P136">
        <v>0.60709999999999997</v>
      </c>
      <c r="Q136">
        <f>_xlfn.XLOOKUP(Table1[[#This Row],[session_id]],[1]chats_with_feedback!$A:$A,[1]chats_with_feedback!$F:$F)</f>
        <v>3</v>
      </c>
      <c r="R136">
        <f>_xlfn.XLOOKUP(Table1[[#This Row],[session_id]],[1]chats_with_feedback!$A:$A,[1]chats_with_feedback!$G:$G)</f>
        <v>7</v>
      </c>
      <c r="S136">
        <f>_xlfn.XLOOKUP(Table1[[#This Row],[session_id]],[1]chats_with_feedback!$A:$A,[1]chats_with_feedback!$J:$J)</f>
        <v>2</v>
      </c>
      <c r="T136" t="str">
        <f>_xlfn.XLOOKUP(Table1[[#This Row],[csat_score]],Sheet2!A:A,Sheet2!D:D)</f>
        <v>Media</v>
      </c>
      <c r="U136" t="str">
        <f>_xlfn.XLOOKUP(Table1[[#This Row],[nps_score]],Sheet2!B:B,Sheet2!E:E)</f>
        <v>passive</v>
      </c>
      <c r="V136" t="str">
        <f>_xlfn.XLOOKUP(Table1[[#This Row],[resolution_numeric]],Sheet2!C:C,Sheet2!F:F)</f>
        <v>partial</v>
      </c>
      <c r="W136">
        <f>1</f>
        <v>1</v>
      </c>
      <c r="X136">
        <f>IF(ISBLANK(Table1[[#This Row],[nps_category]]),0,1)</f>
        <v>1</v>
      </c>
    </row>
    <row r="137" spans="1:24" x14ac:dyDescent="0.25">
      <c r="A137" t="s">
        <v>436</v>
      </c>
      <c r="B137" t="s">
        <v>437</v>
      </c>
      <c r="C137" s="1">
        <v>46144</v>
      </c>
      <c r="D137" t="s">
        <v>45</v>
      </c>
      <c r="E137" t="b">
        <v>1</v>
      </c>
      <c r="F137">
        <v>1</v>
      </c>
      <c r="G137" s="2">
        <v>0.31111111111111112</v>
      </c>
      <c r="H137" t="s">
        <v>438</v>
      </c>
      <c r="I137" t="s">
        <v>438</v>
      </c>
      <c r="J137" t="s">
        <v>45</v>
      </c>
      <c r="K137" t="b">
        <v>1</v>
      </c>
      <c r="L137" t="b">
        <v>0</v>
      </c>
      <c r="M137">
        <v>6.2927833333333307</v>
      </c>
      <c r="N137">
        <v>5</v>
      </c>
      <c r="O137" t="s">
        <v>273</v>
      </c>
      <c r="P137">
        <v>0.36509999999999998</v>
      </c>
      <c r="Q137">
        <f>_xlfn.XLOOKUP(Table1[[#This Row],[session_id]],[1]chats_with_feedback!$A:$A,[1]chats_with_feedback!$F:$F)</f>
        <v>3</v>
      </c>
      <c r="R137">
        <f>_xlfn.XLOOKUP(Table1[[#This Row],[session_id]],[1]chats_with_feedback!$A:$A,[1]chats_with_feedback!$G:$G)</f>
        <v>7</v>
      </c>
      <c r="S137">
        <f>_xlfn.XLOOKUP(Table1[[#This Row],[session_id]],[1]chats_with_feedback!$A:$A,[1]chats_with_feedback!$J:$J)</f>
        <v>2</v>
      </c>
      <c r="T137" t="str">
        <f>_xlfn.XLOOKUP(Table1[[#This Row],[csat_score]],Sheet2!A:A,Sheet2!D:D)</f>
        <v>Media</v>
      </c>
      <c r="U137" t="str">
        <f>_xlfn.XLOOKUP(Table1[[#This Row],[nps_score]],Sheet2!B:B,Sheet2!E:E)</f>
        <v>passive</v>
      </c>
      <c r="V137" t="str">
        <f>_xlfn.XLOOKUP(Table1[[#This Row],[resolution_numeric]],Sheet2!C:C,Sheet2!F:F)</f>
        <v>partial</v>
      </c>
      <c r="W137">
        <f>1</f>
        <v>1</v>
      </c>
      <c r="X137">
        <f>IF(ISBLANK(Table1[[#This Row],[nps_category]]),0,1)</f>
        <v>1</v>
      </c>
    </row>
    <row r="138" spans="1:24" x14ac:dyDescent="0.25">
      <c r="A138" t="s">
        <v>442</v>
      </c>
      <c r="B138" t="s">
        <v>443</v>
      </c>
      <c r="C138" s="1">
        <v>46144</v>
      </c>
      <c r="D138" t="s">
        <v>22</v>
      </c>
      <c r="E138" t="b">
        <v>0</v>
      </c>
      <c r="F138">
        <v>1</v>
      </c>
      <c r="G138" s="2">
        <v>0.62152777777777779</v>
      </c>
      <c r="H138" t="s">
        <v>444</v>
      </c>
      <c r="I138" t="s">
        <v>444</v>
      </c>
      <c r="J138" t="s">
        <v>22</v>
      </c>
      <c r="K138" t="b">
        <v>0</v>
      </c>
      <c r="L138" t="b">
        <v>0</v>
      </c>
      <c r="M138">
        <v>5.5427166666666601</v>
      </c>
      <c r="N138">
        <v>5</v>
      </c>
      <c r="O138" t="s">
        <v>445</v>
      </c>
      <c r="P138">
        <v>0.33739999999999998</v>
      </c>
      <c r="Q138">
        <f>_xlfn.XLOOKUP(Table1[[#This Row],[session_id]],[1]chats_with_feedback!$A:$A,[1]chats_with_feedback!$F:$F)</f>
        <v>3</v>
      </c>
      <c r="R138">
        <f>_xlfn.XLOOKUP(Table1[[#This Row],[session_id]],[1]chats_with_feedback!$A:$A,[1]chats_with_feedback!$G:$G)</f>
        <v>7</v>
      </c>
      <c r="S138">
        <f>_xlfn.XLOOKUP(Table1[[#This Row],[session_id]],[1]chats_with_feedback!$A:$A,[1]chats_with_feedback!$J:$J)</f>
        <v>2</v>
      </c>
      <c r="T138" t="str">
        <f>_xlfn.XLOOKUP(Table1[[#This Row],[csat_score]],Sheet2!A:A,Sheet2!D:D)</f>
        <v>Media</v>
      </c>
      <c r="U138" t="str">
        <f>_xlfn.XLOOKUP(Table1[[#This Row],[nps_score]],Sheet2!B:B,Sheet2!E:E)</f>
        <v>passive</v>
      </c>
      <c r="V138" t="str">
        <f>_xlfn.XLOOKUP(Table1[[#This Row],[resolution_numeric]],Sheet2!C:C,Sheet2!F:F)</f>
        <v>partial</v>
      </c>
      <c r="W138">
        <f>1</f>
        <v>1</v>
      </c>
      <c r="X138">
        <f>IF(ISBLANK(Table1[[#This Row],[nps_category]]),0,1)</f>
        <v>1</v>
      </c>
    </row>
    <row r="139" spans="1:24" x14ac:dyDescent="0.25">
      <c r="A139" t="s">
        <v>455</v>
      </c>
      <c r="B139" t="s">
        <v>456</v>
      </c>
      <c r="C139" s="1">
        <v>46144</v>
      </c>
      <c r="D139" t="s">
        <v>22</v>
      </c>
      <c r="E139" t="b">
        <v>0</v>
      </c>
      <c r="F139">
        <v>1</v>
      </c>
      <c r="G139" s="2">
        <v>0.20208333333333334</v>
      </c>
      <c r="H139" t="s">
        <v>457</v>
      </c>
      <c r="I139" t="s">
        <v>457</v>
      </c>
      <c r="J139" t="s">
        <v>22</v>
      </c>
      <c r="K139" t="b">
        <v>0</v>
      </c>
      <c r="L139" t="b">
        <v>0</v>
      </c>
      <c r="M139">
        <v>3.0585499999999999</v>
      </c>
      <c r="N139">
        <v>5</v>
      </c>
      <c r="O139" t="s">
        <v>458</v>
      </c>
      <c r="P139">
        <v>0.22120000000000001</v>
      </c>
      <c r="Q139">
        <f>_xlfn.XLOOKUP(Table1[[#This Row],[session_id]],[1]chats_with_feedback!$A:$A,[1]chats_with_feedback!$F:$F)</f>
        <v>2</v>
      </c>
      <c r="R139">
        <f>_xlfn.XLOOKUP(Table1[[#This Row],[session_id]],[1]chats_with_feedback!$A:$A,[1]chats_with_feedback!$G:$G)</f>
        <v>3</v>
      </c>
      <c r="S139">
        <f>_xlfn.XLOOKUP(Table1[[#This Row],[session_id]],[1]chats_with_feedback!$A:$A,[1]chats_with_feedback!$J:$J)</f>
        <v>1</v>
      </c>
      <c r="T139" t="str">
        <f>_xlfn.XLOOKUP(Table1[[#This Row],[csat_score]],Sheet2!A:A,Sheet2!D:D)</f>
        <v>Baja</v>
      </c>
      <c r="U139" t="str">
        <f>_xlfn.XLOOKUP(Table1[[#This Row],[nps_score]],Sheet2!B:B,Sheet2!E:E)</f>
        <v>detractor</v>
      </c>
      <c r="V139" t="str">
        <f>_xlfn.XLOOKUP(Table1[[#This Row],[resolution_numeric]],Sheet2!C:C,Sheet2!F:F)</f>
        <v>no</v>
      </c>
      <c r="W139">
        <f>1</f>
        <v>1</v>
      </c>
      <c r="X139">
        <f>IF(ISBLANK(Table1[[#This Row],[nps_category]]),0,1)</f>
        <v>1</v>
      </c>
    </row>
    <row r="140" spans="1:24" x14ac:dyDescent="0.25">
      <c r="A140" t="s">
        <v>459</v>
      </c>
      <c r="B140" t="s">
        <v>460</v>
      </c>
      <c r="C140" s="1">
        <v>46144</v>
      </c>
      <c r="D140" t="s">
        <v>22</v>
      </c>
      <c r="E140" t="b">
        <v>0</v>
      </c>
      <c r="F140">
        <v>1</v>
      </c>
      <c r="G140" s="2">
        <v>0.25277777777777777</v>
      </c>
      <c r="H140" t="s">
        <v>461</v>
      </c>
      <c r="I140" t="s">
        <v>461</v>
      </c>
      <c r="J140" t="s">
        <v>22</v>
      </c>
      <c r="K140" t="b">
        <v>0</v>
      </c>
      <c r="L140" t="b">
        <v>0</v>
      </c>
      <c r="M140">
        <v>20.526900000000001</v>
      </c>
      <c r="N140">
        <v>5</v>
      </c>
      <c r="O140" t="s">
        <v>133</v>
      </c>
      <c r="P140">
        <v>0.38790000000000002</v>
      </c>
      <c r="Q140">
        <f>_xlfn.XLOOKUP(Table1[[#This Row],[session_id]],[1]chats_with_feedback!$A:$A,[1]chats_with_feedback!$F:$F)</f>
        <v>2</v>
      </c>
      <c r="R140">
        <f>_xlfn.XLOOKUP(Table1[[#This Row],[session_id]],[1]chats_with_feedback!$A:$A,[1]chats_with_feedback!$G:$G)</f>
        <v>3</v>
      </c>
      <c r="S140">
        <f>_xlfn.XLOOKUP(Table1[[#This Row],[session_id]],[1]chats_with_feedback!$A:$A,[1]chats_with_feedback!$J:$J)</f>
        <v>1</v>
      </c>
      <c r="T140" t="str">
        <f>_xlfn.XLOOKUP(Table1[[#This Row],[csat_score]],Sheet2!A:A,Sheet2!D:D)</f>
        <v>Baja</v>
      </c>
      <c r="U140" t="str">
        <f>_xlfn.XLOOKUP(Table1[[#This Row],[nps_score]],Sheet2!B:B,Sheet2!E:E)</f>
        <v>detractor</v>
      </c>
      <c r="V140" t="str">
        <f>_xlfn.XLOOKUP(Table1[[#This Row],[resolution_numeric]],Sheet2!C:C,Sheet2!F:F)</f>
        <v>no</v>
      </c>
      <c r="W140">
        <f>1</f>
        <v>1</v>
      </c>
      <c r="X140">
        <f>IF(ISBLANK(Table1[[#This Row],[nps_category]]),0,1)</f>
        <v>1</v>
      </c>
    </row>
    <row r="141" spans="1:24" x14ac:dyDescent="0.25">
      <c r="A141" t="s">
        <v>462</v>
      </c>
      <c r="B141" t="s">
        <v>463</v>
      </c>
      <c r="C141" s="1">
        <v>46144</v>
      </c>
      <c r="D141" t="s">
        <v>45</v>
      </c>
      <c r="E141" t="b">
        <v>1</v>
      </c>
      <c r="F141">
        <v>1</v>
      </c>
      <c r="G141" s="2">
        <v>0.78055555555555556</v>
      </c>
      <c r="H141" t="s">
        <v>464</v>
      </c>
      <c r="I141" t="s">
        <v>464</v>
      </c>
      <c r="J141" t="s">
        <v>45</v>
      </c>
      <c r="K141" t="b">
        <v>1</v>
      </c>
      <c r="L141" t="b">
        <v>0</v>
      </c>
      <c r="M141">
        <v>3.39143333333333</v>
      </c>
      <c r="N141">
        <v>5</v>
      </c>
      <c r="O141" t="s">
        <v>32</v>
      </c>
      <c r="P141">
        <v>0.30509999999999998</v>
      </c>
      <c r="Q141">
        <f>_xlfn.XLOOKUP(Table1[[#This Row],[session_id]],[1]chats_with_feedback!$A:$A,[1]chats_with_feedback!$F:$F)</f>
        <v>3</v>
      </c>
      <c r="R141">
        <f>_xlfn.XLOOKUP(Table1[[#This Row],[session_id]],[1]chats_with_feedback!$A:$A,[1]chats_with_feedback!$G:$G)</f>
        <v>7</v>
      </c>
      <c r="S141">
        <f>_xlfn.XLOOKUP(Table1[[#This Row],[session_id]],[1]chats_with_feedback!$A:$A,[1]chats_with_feedback!$J:$J)</f>
        <v>2</v>
      </c>
      <c r="T141" t="str">
        <f>_xlfn.XLOOKUP(Table1[[#This Row],[csat_score]],Sheet2!A:A,Sheet2!D:D)</f>
        <v>Media</v>
      </c>
      <c r="U141" t="str">
        <f>_xlfn.XLOOKUP(Table1[[#This Row],[nps_score]],Sheet2!B:B,Sheet2!E:E)</f>
        <v>passive</v>
      </c>
      <c r="V141" t="str">
        <f>_xlfn.XLOOKUP(Table1[[#This Row],[resolution_numeric]],Sheet2!C:C,Sheet2!F:F)</f>
        <v>partial</v>
      </c>
      <c r="W141">
        <f>1</f>
        <v>1</v>
      </c>
      <c r="X141">
        <f>IF(ISBLANK(Table1[[#This Row],[nps_category]]),0,1)</f>
        <v>1</v>
      </c>
    </row>
    <row r="142" spans="1:24" x14ac:dyDescent="0.25">
      <c r="A142" t="s">
        <v>465</v>
      </c>
      <c r="B142" t="s">
        <v>466</v>
      </c>
      <c r="C142" s="1">
        <v>46144</v>
      </c>
      <c r="D142" t="s">
        <v>45</v>
      </c>
      <c r="E142" t="b">
        <v>1</v>
      </c>
      <c r="F142">
        <v>1</v>
      </c>
      <c r="G142" s="2">
        <v>0.26805555555555555</v>
      </c>
      <c r="H142" t="s">
        <v>467</v>
      </c>
      <c r="I142" t="s">
        <v>467</v>
      </c>
      <c r="J142" t="s">
        <v>45</v>
      </c>
      <c r="K142" t="b">
        <v>1</v>
      </c>
      <c r="L142" t="b">
        <v>0</v>
      </c>
      <c r="M142">
        <v>4.4173999999999891</v>
      </c>
      <c r="N142">
        <v>5</v>
      </c>
      <c r="O142" t="s">
        <v>113</v>
      </c>
      <c r="P142">
        <v>0.76929999999999998</v>
      </c>
      <c r="Q142">
        <f>_xlfn.XLOOKUP(Table1[[#This Row],[session_id]],[1]chats_with_feedback!$A:$A,[1]chats_with_feedback!$F:$F)</f>
        <v>5</v>
      </c>
      <c r="R142">
        <f>_xlfn.XLOOKUP(Table1[[#This Row],[session_id]],[1]chats_with_feedback!$A:$A,[1]chats_with_feedback!$G:$G)</f>
        <v>10</v>
      </c>
      <c r="S142">
        <f>_xlfn.XLOOKUP(Table1[[#This Row],[session_id]],[1]chats_with_feedback!$A:$A,[1]chats_with_feedback!$J:$J)</f>
        <v>3</v>
      </c>
      <c r="T142" t="str">
        <f>_xlfn.XLOOKUP(Table1[[#This Row],[csat_score]],Sheet2!A:A,Sheet2!D:D)</f>
        <v>Alta</v>
      </c>
      <c r="U142" t="str">
        <f>_xlfn.XLOOKUP(Table1[[#This Row],[nps_score]],Sheet2!B:B,Sheet2!E:E)</f>
        <v>promoter</v>
      </c>
      <c r="V142" t="str">
        <f>_xlfn.XLOOKUP(Table1[[#This Row],[resolution_numeric]],Sheet2!C:C,Sheet2!F:F)</f>
        <v>yes</v>
      </c>
      <c r="W142">
        <f>1</f>
        <v>1</v>
      </c>
      <c r="X142">
        <f>IF(ISBLANK(Table1[[#This Row],[nps_category]]),0,1)</f>
        <v>1</v>
      </c>
    </row>
    <row r="143" spans="1:24" x14ac:dyDescent="0.25">
      <c r="A143" t="s">
        <v>794</v>
      </c>
      <c r="B143" t="s">
        <v>795</v>
      </c>
      <c r="C143" s="1">
        <v>46144</v>
      </c>
      <c r="D143" t="s">
        <v>22</v>
      </c>
      <c r="E143" t="b">
        <v>0</v>
      </c>
      <c r="F143">
        <v>1</v>
      </c>
      <c r="G143" s="2">
        <v>0.17708333333333334</v>
      </c>
      <c r="H143" t="s">
        <v>181</v>
      </c>
      <c r="I143" t="s">
        <v>181</v>
      </c>
      <c r="J143" t="s">
        <v>22</v>
      </c>
      <c r="K143" t="b">
        <v>0</v>
      </c>
      <c r="L143" t="b">
        <v>0</v>
      </c>
      <c r="M143">
        <v>4.1859999999999991</v>
      </c>
      <c r="N143">
        <v>5</v>
      </c>
      <c r="O143" t="s">
        <v>182</v>
      </c>
      <c r="P143">
        <v>-0.60660000000000003</v>
      </c>
      <c r="Q143">
        <f>_xlfn.XLOOKUP(Table1[[#This Row],[session_id]],[1]chats_with_feedback!$A:$A,[1]chats_with_feedback!$F:$F)</f>
        <v>2</v>
      </c>
      <c r="R143">
        <f>_xlfn.XLOOKUP(Table1[[#This Row],[session_id]],[1]chats_with_feedback!$A:$A,[1]chats_with_feedback!$G:$G)</f>
        <v>3</v>
      </c>
      <c r="S143">
        <f>_xlfn.XLOOKUP(Table1[[#This Row],[session_id]],[1]chats_with_feedback!$A:$A,[1]chats_with_feedback!$J:$J)</f>
        <v>1</v>
      </c>
      <c r="T143" t="str">
        <f>_xlfn.XLOOKUP(Table1[[#This Row],[csat_score]],Sheet2!A:A,Sheet2!D:D)</f>
        <v>Baja</v>
      </c>
      <c r="U143" t="str">
        <f>_xlfn.XLOOKUP(Table1[[#This Row],[nps_score]],Sheet2!B:B,Sheet2!E:E)</f>
        <v>detractor</v>
      </c>
      <c r="V143" t="str">
        <f>_xlfn.XLOOKUP(Table1[[#This Row],[resolution_numeric]],Sheet2!C:C,Sheet2!F:F)</f>
        <v>no</v>
      </c>
      <c r="W143">
        <f>1</f>
        <v>1</v>
      </c>
      <c r="X143">
        <f>IF(ISBLANK(Table1[[#This Row],[nps_category]]),0,1)</f>
        <v>1</v>
      </c>
    </row>
    <row r="144" spans="1:24" x14ac:dyDescent="0.25">
      <c r="A144" t="s">
        <v>472</v>
      </c>
      <c r="B144" t="s">
        <v>473</v>
      </c>
      <c r="C144" s="1">
        <v>46144</v>
      </c>
      <c r="D144" t="s">
        <v>22</v>
      </c>
      <c r="E144" t="b">
        <v>0</v>
      </c>
      <c r="F144">
        <v>1</v>
      </c>
      <c r="G144" s="2">
        <v>0.6118055555555556</v>
      </c>
      <c r="H144" t="s">
        <v>474</v>
      </c>
      <c r="I144" t="s">
        <v>474</v>
      </c>
      <c r="J144" t="s">
        <v>22</v>
      </c>
      <c r="K144" t="b">
        <v>0</v>
      </c>
      <c r="L144" t="b">
        <v>0</v>
      </c>
      <c r="M144">
        <v>5.5477333333333299</v>
      </c>
      <c r="N144">
        <v>5</v>
      </c>
      <c r="O144" t="s">
        <v>475</v>
      </c>
      <c r="P144">
        <v>0.2409</v>
      </c>
      <c r="Q144">
        <f>_xlfn.XLOOKUP(Table1[[#This Row],[session_id]],[1]chats_with_feedback!$A:$A,[1]chats_with_feedback!$F:$F)</f>
        <v>2</v>
      </c>
      <c r="R144">
        <f>_xlfn.XLOOKUP(Table1[[#This Row],[session_id]],[1]chats_with_feedback!$A:$A,[1]chats_with_feedback!$G:$G)</f>
        <v>3</v>
      </c>
      <c r="S144">
        <f>_xlfn.XLOOKUP(Table1[[#This Row],[session_id]],[1]chats_with_feedback!$A:$A,[1]chats_with_feedback!$J:$J)</f>
        <v>1</v>
      </c>
      <c r="T144" t="str">
        <f>_xlfn.XLOOKUP(Table1[[#This Row],[csat_score]],Sheet2!A:A,Sheet2!D:D)</f>
        <v>Baja</v>
      </c>
      <c r="U144" t="str">
        <f>_xlfn.XLOOKUP(Table1[[#This Row],[nps_score]],Sheet2!B:B,Sheet2!E:E)</f>
        <v>detractor</v>
      </c>
      <c r="V144" t="str">
        <f>_xlfn.XLOOKUP(Table1[[#This Row],[resolution_numeric]],Sheet2!C:C,Sheet2!F:F)</f>
        <v>no</v>
      </c>
      <c r="W144">
        <f>1</f>
        <v>1</v>
      </c>
      <c r="X144">
        <f>IF(ISBLANK(Table1[[#This Row],[nps_category]]),0,1)</f>
        <v>1</v>
      </c>
    </row>
    <row r="145" spans="1:24" x14ac:dyDescent="0.25">
      <c r="A145" t="s">
        <v>476</v>
      </c>
      <c r="B145" t="s">
        <v>477</v>
      </c>
      <c r="C145" s="1">
        <v>46144</v>
      </c>
      <c r="D145" t="s">
        <v>45</v>
      </c>
      <c r="E145" t="b">
        <v>1</v>
      </c>
      <c r="F145">
        <v>1</v>
      </c>
      <c r="G145" s="2">
        <v>0.8666666666666667</v>
      </c>
      <c r="H145" t="s">
        <v>478</v>
      </c>
      <c r="I145" t="s">
        <v>478</v>
      </c>
      <c r="J145" t="s">
        <v>45</v>
      </c>
      <c r="K145" t="b">
        <v>1</v>
      </c>
      <c r="L145" t="b">
        <v>0</v>
      </c>
      <c r="M145">
        <v>11.33075</v>
      </c>
      <c r="N145">
        <v>5</v>
      </c>
      <c r="O145" t="s">
        <v>95</v>
      </c>
      <c r="P145">
        <v>0.81369999999999998</v>
      </c>
      <c r="Q145">
        <f>_xlfn.XLOOKUP(Table1[[#This Row],[session_id]],[1]chats_with_feedback!$A:$A,[1]chats_with_feedback!$F:$F)</f>
        <v>5</v>
      </c>
      <c r="R145">
        <f>_xlfn.XLOOKUP(Table1[[#This Row],[session_id]],[1]chats_with_feedback!$A:$A,[1]chats_with_feedback!$G:$G)</f>
        <v>10</v>
      </c>
      <c r="S145">
        <f>_xlfn.XLOOKUP(Table1[[#This Row],[session_id]],[1]chats_with_feedback!$A:$A,[1]chats_with_feedback!$J:$J)</f>
        <v>3</v>
      </c>
      <c r="T145" t="str">
        <f>_xlfn.XLOOKUP(Table1[[#This Row],[csat_score]],Sheet2!A:A,Sheet2!D:D)</f>
        <v>Alta</v>
      </c>
      <c r="U145" t="str">
        <f>_xlfn.XLOOKUP(Table1[[#This Row],[nps_score]],Sheet2!B:B,Sheet2!E:E)</f>
        <v>promoter</v>
      </c>
      <c r="V145" t="str">
        <f>_xlfn.XLOOKUP(Table1[[#This Row],[resolution_numeric]],Sheet2!C:C,Sheet2!F:F)</f>
        <v>yes</v>
      </c>
      <c r="W145">
        <f>1</f>
        <v>1</v>
      </c>
      <c r="X145">
        <f>IF(ISBLANK(Table1[[#This Row],[nps_category]]),0,1)</f>
        <v>1</v>
      </c>
    </row>
    <row r="146" spans="1:24" x14ac:dyDescent="0.25">
      <c r="A146" t="s">
        <v>479</v>
      </c>
      <c r="B146" t="s">
        <v>480</v>
      </c>
      <c r="C146" s="1">
        <v>46144</v>
      </c>
      <c r="D146" t="s">
        <v>45</v>
      </c>
      <c r="E146" t="b">
        <v>1</v>
      </c>
      <c r="F146">
        <v>1</v>
      </c>
      <c r="G146" s="2">
        <v>0.60624999999999996</v>
      </c>
      <c r="H146" t="s">
        <v>481</v>
      </c>
      <c r="I146" t="s">
        <v>481</v>
      </c>
      <c r="J146" t="s">
        <v>45</v>
      </c>
      <c r="K146" t="b">
        <v>1</v>
      </c>
      <c r="L146" t="b">
        <v>0</v>
      </c>
      <c r="M146">
        <v>7.826649999999999</v>
      </c>
      <c r="N146">
        <v>5</v>
      </c>
      <c r="O146" t="s">
        <v>482</v>
      </c>
      <c r="P146">
        <v>0.40670000000000001</v>
      </c>
      <c r="Q146">
        <f>_xlfn.XLOOKUP(Table1[[#This Row],[session_id]],[1]chats_with_feedback!$A:$A,[1]chats_with_feedback!$F:$F)</f>
        <v>3</v>
      </c>
      <c r="R146">
        <f>_xlfn.XLOOKUP(Table1[[#This Row],[session_id]],[1]chats_with_feedback!$A:$A,[1]chats_with_feedback!$G:$G)</f>
        <v>7</v>
      </c>
      <c r="S146">
        <f>_xlfn.XLOOKUP(Table1[[#This Row],[session_id]],[1]chats_with_feedback!$A:$A,[1]chats_with_feedback!$J:$J)</f>
        <v>2</v>
      </c>
      <c r="T146" t="str">
        <f>_xlfn.XLOOKUP(Table1[[#This Row],[csat_score]],Sheet2!A:A,Sheet2!D:D)</f>
        <v>Media</v>
      </c>
      <c r="U146" t="str">
        <f>_xlfn.XLOOKUP(Table1[[#This Row],[nps_score]],Sheet2!B:B,Sheet2!E:E)</f>
        <v>passive</v>
      </c>
      <c r="V146" t="str">
        <f>_xlfn.XLOOKUP(Table1[[#This Row],[resolution_numeric]],Sheet2!C:C,Sheet2!F:F)</f>
        <v>partial</v>
      </c>
      <c r="W146">
        <f>1</f>
        <v>1</v>
      </c>
      <c r="X146">
        <f>IF(ISBLANK(Table1[[#This Row],[nps_category]]),0,1)</f>
        <v>1</v>
      </c>
    </row>
    <row r="147" spans="1:24" x14ac:dyDescent="0.25">
      <c r="A147" t="s">
        <v>483</v>
      </c>
      <c r="B147" t="s">
        <v>484</v>
      </c>
      <c r="C147" s="1">
        <v>46144</v>
      </c>
      <c r="D147" t="s">
        <v>45</v>
      </c>
      <c r="E147" t="b">
        <v>1</v>
      </c>
      <c r="F147">
        <v>1</v>
      </c>
      <c r="G147" s="2">
        <v>0.32083333333333336</v>
      </c>
      <c r="H147" t="s">
        <v>485</v>
      </c>
      <c r="I147" t="s">
        <v>485</v>
      </c>
      <c r="J147" t="s">
        <v>45</v>
      </c>
      <c r="K147" t="b">
        <v>1</v>
      </c>
      <c r="L147" t="b">
        <v>0</v>
      </c>
      <c r="M147">
        <v>4.0090166666666596</v>
      </c>
      <c r="N147">
        <v>5</v>
      </c>
      <c r="O147" t="s">
        <v>486</v>
      </c>
      <c r="P147">
        <v>0.69689999999999996</v>
      </c>
      <c r="Q147">
        <f>_xlfn.XLOOKUP(Table1[[#This Row],[session_id]],[1]chats_with_feedback!$A:$A,[1]chats_with_feedback!$F:$F)</f>
        <v>5</v>
      </c>
      <c r="R147">
        <f>_xlfn.XLOOKUP(Table1[[#This Row],[session_id]],[1]chats_with_feedback!$A:$A,[1]chats_with_feedback!$G:$G)</f>
        <v>10</v>
      </c>
      <c r="S147">
        <f>_xlfn.XLOOKUP(Table1[[#This Row],[session_id]],[1]chats_with_feedback!$A:$A,[1]chats_with_feedback!$J:$J)</f>
        <v>3</v>
      </c>
      <c r="T147" t="str">
        <f>_xlfn.XLOOKUP(Table1[[#This Row],[csat_score]],Sheet2!A:A,Sheet2!D:D)</f>
        <v>Alta</v>
      </c>
      <c r="U147" t="str">
        <f>_xlfn.XLOOKUP(Table1[[#This Row],[nps_score]],Sheet2!B:B,Sheet2!E:E)</f>
        <v>promoter</v>
      </c>
      <c r="V147" t="str">
        <f>_xlfn.XLOOKUP(Table1[[#This Row],[resolution_numeric]],Sheet2!C:C,Sheet2!F:F)</f>
        <v>yes</v>
      </c>
      <c r="W147">
        <f>1</f>
        <v>1</v>
      </c>
      <c r="X147">
        <f>IF(ISBLANK(Table1[[#This Row],[nps_category]]),0,1)</f>
        <v>1</v>
      </c>
    </row>
    <row r="148" spans="1:24" x14ac:dyDescent="0.25">
      <c r="A148" t="s">
        <v>487</v>
      </c>
      <c r="B148" t="s">
        <v>488</v>
      </c>
      <c r="C148" s="1">
        <v>46144</v>
      </c>
      <c r="D148" t="s">
        <v>45</v>
      </c>
      <c r="E148" t="b">
        <v>1</v>
      </c>
      <c r="F148">
        <v>1</v>
      </c>
      <c r="G148" s="2">
        <v>0.58125000000000004</v>
      </c>
      <c r="H148" t="s">
        <v>489</v>
      </c>
      <c r="I148" t="s">
        <v>489</v>
      </c>
      <c r="J148" t="s">
        <v>45</v>
      </c>
      <c r="K148" t="b">
        <v>1</v>
      </c>
      <c r="L148" t="b">
        <v>0</v>
      </c>
      <c r="M148">
        <v>5.7018333333333295</v>
      </c>
      <c r="N148">
        <v>5</v>
      </c>
      <c r="O148" t="s">
        <v>490</v>
      </c>
      <c r="P148">
        <v>0.40749999999999997</v>
      </c>
      <c r="Q148">
        <f>_xlfn.XLOOKUP(Table1[[#This Row],[session_id]],[1]chats_with_feedback!$A:$A,[1]chats_with_feedback!$F:$F)</f>
        <v>3</v>
      </c>
      <c r="R148">
        <f>_xlfn.XLOOKUP(Table1[[#This Row],[session_id]],[1]chats_with_feedback!$A:$A,[1]chats_with_feedback!$G:$G)</f>
        <v>7</v>
      </c>
      <c r="S148">
        <f>_xlfn.XLOOKUP(Table1[[#This Row],[session_id]],[1]chats_with_feedback!$A:$A,[1]chats_with_feedback!$J:$J)</f>
        <v>2</v>
      </c>
      <c r="T148" t="str">
        <f>_xlfn.XLOOKUP(Table1[[#This Row],[csat_score]],Sheet2!A:A,Sheet2!D:D)</f>
        <v>Media</v>
      </c>
      <c r="U148" t="str">
        <f>_xlfn.XLOOKUP(Table1[[#This Row],[nps_score]],Sheet2!B:B,Sheet2!E:E)</f>
        <v>passive</v>
      </c>
      <c r="V148" t="str">
        <f>_xlfn.XLOOKUP(Table1[[#This Row],[resolution_numeric]],Sheet2!C:C,Sheet2!F:F)</f>
        <v>partial</v>
      </c>
      <c r="W148">
        <f>1</f>
        <v>1</v>
      </c>
      <c r="X148">
        <f>IF(ISBLANK(Table1[[#This Row],[nps_category]]),0,1)</f>
        <v>1</v>
      </c>
    </row>
    <row r="149" spans="1:24" x14ac:dyDescent="0.25">
      <c r="A149" t="s">
        <v>495</v>
      </c>
      <c r="B149" t="s">
        <v>496</v>
      </c>
      <c r="C149" s="1">
        <v>46144</v>
      </c>
      <c r="D149" t="s">
        <v>22</v>
      </c>
      <c r="E149" t="b">
        <v>0</v>
      </c>
      <c r="F149">
        <v>1</v>
      </c>
      <c r="G149" s="2">
        <v>0.34722222222222221</v>
      </c>
      <c r="H149" t="s">
        <v>497</v>
      </c>
      <c r="I149" t="s">
        <v>497</v>
      </c>
      <c r="J149" t="s">
        <v>22</v>
      </c>
      <c r="K149" t="b">
        <v>0</v>
      </c>
      <c r="L149" t="b">
        <v>0</v>
      </c>
      <c r="M149">
        <v>2.7513499999999897</v>
      </c>
      <c r="N149">
        <v>5</v>
      </c>
      <c r="O149" t="s">
        <v>486</v>
      </c>
      <c r="P149">
        <v>0.69689999999999996</v>
      </c>
      <c r="Q149">
        <f>_xlfn.XLOOKUP(Table1[[#This Row],[session_id]],[1]chats_with_feedback!$A:$A,[1]chats_with_feedback!$F:$F)</f>
        <v>5</v>
      </c>
      <c r="R149">
        <f>_xlfn.XLOOKUP(Table1[[#This Row],[session_id]],[1]chats_with_feedback!$A:$A,[1]chats_with_feedback!$G:$G)</f>
        <v>10</v>
      </c>
      <c r="S149">
        <f>_xlfn.XLOOKUP(Table1[[#This Row],[session_id]],[1]chats_with_feedback!$A:$A,[1]chats_with_feedback!$J:$J)</f>
        <v>3</v>
      </c>
      <c r="T149" t="str">
        <f>_xlfn.XLOOKUP(Table1[[#This Row],[csat_score]],Sheet2!A:A,Sheet2!D:D)</f>
        <v>Alta</v>
      </c>
      <c r="U149" t="str">
        <f>_xlfn.XLOOKUP(Table1[[#This Row],[nps_score]],Sheet2!B:B,Sheet2!E:E)</f>
        <v>promoter</v>
      </c>
      <c r="V149" t="str">
        <f>_xlfn.XLOOKUP(Table1[[#This Row],[resolution_numeric]],Sheet2!C:C,Sheet2!F:F)</f>
        <v>yes</v>
      </c>
      <c r="W149">
        <f>1</f>
        <v>1</v>
      </c>
      <c r="X149">
        <f>IF(ISBLANK(Table1[[#This Row],[nps_category]]),0,1)</f>
        <v>1</v>
      </c>
    </row>
    <row r="150" spans="1:24" x14ac:dyDescent="0.25">
      <c r="A150" t="s">
        <v>506</v>
      </c>
      <c r="B150" t="s">
        <v>507</v>
      </c>
      <c r="C150" s="1">
        <v>46144</v>
      </c>
      <c r="D150" t="s">
        <v>45</v>
      </c>
      <c r="E150" t="b">
        <v>1</v>
      </c>
      <c r="F150">
        <v>1</v>
      </c>
      <c r="G150" s="2">
        <v>0.54583333333333328</v>
      </c>
      <c r="H150" t="s">
        <v>508</v>
      </c>
      <c r="I150" t="s">
        <v>508</v>
      </c>
      <c r="J150" t="s">
        <v>45</v>
      </c>
      <c r="K150" t="b">
        <v>1</v>
      </c>
      <c r="L150" t="b">
        <v>0</v>
      </c>
      <c r="M150">
        <v>6.4681499999999996</v>
      </c>
      <c r="N150">
        <v>5</v>
      </c>
      <c r="O150" t="s">
        <v>509</v>
      </c>
      <c r="P150">
        <v>0.36299999999999999</v>
      </c>
      <c r="Q150">
        <f>_xlfn.XLOOKUP(Table1[[#This Row],[session_id]],[1]chats_with_feedback!$A:$A,[1]chats_with_feedback!$F:$F)</f>
        <v>3</v>
      </c>
      <c r="R150">
        <f>_xlfn.XLOOKUP(Table1[[#This Row],[session_id]],[1]chats_with_feedback!$A:$A,[1]chats_with_feedback!$G:$G)</f>
        <v>7</v>
      </c>
      <c r="S150">
        <f>_xlfn.XLOOKUP(Table1[[#This Row],[session_id]],[1]chats_with_feedback!$A:$A,[1]chats_with_feedback!$J:$J)</f>
        <v>2</v>
      </c>
      <c r="T150" t="str">
        <f>_xlfn.XLOOKUP(Table1[[#This Row],[csat_score]],Sheet2!A:A,Sheet2!D:D)</f>
        <v>Media</v>
      </c>
      <c r="U150" t="str">
        <f>_xlfn.XLOOKUP(Table1[[#This Row],[nps_score]],Sheet2!B:B,Sheet2!E:E)</f>
        <v>passive</v>
      </c>
      <c r="V150" t="str">
        <f>_xlfn.XLOOKUP(Table1[[#This Row],[resolution_numeric]],Sheet2!C:C,Sheet2!F:F)</f>
        <v>partial</v>
      </c>
      <c r="W150">
        <f>1</f>
        <v>1</v>
      </c>
      <c r="X150">
        <f>IF(ISBLANK(Table1[[#This Row],[nps_category]]),0,1)</f>
        <v>1</v>
      </c>
    </row>
    <row r="151" spans="1:24" x14ac:dyDescent="0.25">
      <c r="A151" t="s">
        <v>510</v>
      </c>
      <c r="B151" t="s">
        <v>511</v>
      </c>
      <c r="C151" s="1">
        <v>46144</v>
      </c>
      <c r="D151" t="s">
        <v>45</v>
      </c>
      <c r="E151" t="b">
        <v>1</v>
      </c>
      <c r="F151">
        <v>1</v>
      </c>
      <c r="G151" s="2">
        <v>1.3888888888888889E-3</v>
      </c>
      <c r="H151" t="s">
        <v>512</v>
      </c>
      <c r="I151" t="s">
        <v>512</v>
      </c>
      <c r="J151" t="s">
        <v>45</v>
      </c>
      <c r="K151" t="b">
        <v>1</v>
      </c>
      <c r="L151" t="b">
        <v>0</v>
      </c>
      <c r="M151">
        <v>3.4771666666666601</v>
      </c>
      <c r="N151">
        <v>5</v>
      </c>
      <c r="O151" t="s">
        <v>229</v>
      </c>
      <c r="P151">
        <v>0.2676</v>
      </c>
      <c r="Q151">
        <f>_xlfn.XLOOKUP(Table1[[#This Row],[session_id]],[1]chats_with_feedback!$A:$A,[1]chats_with_feedback!$F:$F)</f>
        <v>2</v>
      </c>
      <c r="R151">
        <f>_xlfn.XLOOKUP(Table1[[#This Row],[session_id]],[1]chats_with_feedback!$A:$A,[1]chats_with_feedback!$G:$G)</f>
        <v>3</v>
      </c>
      <c r="S151">
        <f>_xlfn.XLOOKUP(Table1[[#This Row],[session_id]],[1]chats_with_feedback!$A:$A,[1]chats_with_feedback!$J:$J)</f>
        <v>1</v>
      </c>
      <c r="T151" t="str">
        <f>_xlfn.XLOOKUP(Table1[[#This Row],[csat_score]],Sheet2!A:A,Sheet2!D:D)</f>
        <v>Baja</v>
      </c>
      <c r="U151" t="str">
        <f>_xlfn.XLOOKUP(Table1[[#This Row],[nps_score]],Sheet2!B:B,Sheet2!E:E)</f>
        <v>detractor</v>
      </c>
      <c r="V151" t="str">
        <f>_xlfn.XLOOKUP(Table1[[#This Row],[resolution_numeric]],Sheet2!C:C,Sheet2!F:F)</f>
        <v>no</v>
      </c>
      <c r="W151">
        <f>1</f>
        <v>1</v>
      </c>
      <c r="X151">
        <f>IF(ISBLANK(Table1[[#This Row],[nps_category]]),0,1)</f>
        <v>1</v>
      </c>
    </row>
    <row r="152" spans="1:24" x14ac:dyDescent="0.25">
      <c r="A152" t="s">
        <v>520</v>
      </c>
      <c r="B152" t="s">
        <v>521</v>
      </c>
      <c r="C152" s="1">
        <v>46144</v>
      </c>
      <c r="D152" t="s">
        <v>22</v>
      </c>
      <c r="E152" t="b">
        <v>0</v>
      </c>
      <c r="F152">
        <v>1</v>
      </c>
      <c r="G152" s="2">
        <v>0.37152777777777779</v>
      </c>
      <c r="H152" t="s">
        <v>522</v>
      </c>
      <c r="I152" t="s">
        <v>522</v>
      </c>
      <c r="J152" t="s">
        <v>22</v>
      </c>
      <c r="K152" t="b">
        <v>0</v>
      </c>
      <c r="L152" t="b">
        <v>0</v>
      </c>
      <c r="M152">
        <v>3.0738666666666599</v>
      </c>
      <c r="N152">
        <v>5</v>
      </c>
      <c r="O152" t="s">
        <v>458</v>
      </c>
      <c r="P152">
        <v>0.18290000000000001</v>
      </c>
      <c r="Q152">
        <f>_xlfn.XLOOKUP(Table1[[#This Row],[session_id]],[1]chats_with_feedback!$A:$A,[1]chats_with_feedback!$F:$F)</f>
        <v>2</v>
      </c>
      <c r="R152">
        <f>_xlfn.XLOOKUP(Table1[[#This Row],[session_id]],[1]chats_with_feedback!$A:$A,[1]chats_with_feedback!$G:$G)</f>
        <v>3</v>
      </c>
      <c r="S152">
        <f>_xlfn.XLOOKUP(Table1[[#This Row],[session_id]],[1]chats_with_feedback!$A:$A,[1]chats_with_feedback!$J:$J)</f>
        <v>1</v>
      </c>
      <c r="T152" t="str">
        <f>_xlfn.XLOOKUP(Table1[[#This Row],[csat_score]],Sheet2!A:A,Sheet2!D:D)</f>
        <v>Baja</v>
      </c>
      <c r="U152" t="str">
        <f>_xlfn.XLOOKUP(Table1[[#This Row],[nps_score]],Sheet2!B:B,Sheet2!E:E)</f>
        <v>detractor</v>
      </c>
      <c r="V152" t="str">
        <f>_xlfn.XLOOKUP(Table1[[#This Row],[resolution_numeric]],Sheet2!C:C,Sheet2!F:F)</f>
        <v>no</v>
      </c>
      <c r="W152">
        <f>1</f>
        <v>1</v>
      </c>
      <c r="X152">
        <f>IF(ISBLANK(Table1[[#This Row],[nps_category]]),0,1)</f>
        <v>1</v>
      </c>
    </row>
    <row r="153" spans="1:24" x14ac:dyDescent="0.25">
      <c r="A153" t="s">
        <v>535</v>
      </c>
      <c r="B153" t="s">
        <v>536</v>
      </c>
      <c r="C153" s="1">
        <v>46144</v>
      </c>
      <c r="D153" t="s">
        <v>22</v>
      </c>
      <c r="E153" t="b">
        <v>0</v>
      </c>
      <c r="F153">
        <v>1</v>
      </c>
      <c r="G153" s="2">
        <v>0.69861111111111107</v>
      </c>
      <c r="H153" t="s">
        <v>537</v>
      </c>
      <c r="I153" t="s">
        <v>537</v>
      </c>
      <c r="J153" t="s">
        <v>22</v>
      </c>
      <c r="K153" t="b">
        <v>0</v>
      </c>
      <c r="L153" t="b">
        <v>0</v>
      </c>
      <c r="M153">
        <v>4.8956666666666599</v>
      </c>
      <c r="N153">
        <v>5</v>
      </c>
      <c r="O153" t="s">
        <v>538</v>
      </c>
      <c r="P153">
        <v>0.40479999999999999</v>
      </c>
      <c r="Q153">
        <f>_xlfn.XLOOKUP(Table1[[#This Row],[session_id]],[1]chats_with_feedback!$A:$A,[1]chats_with_feedback!$F:$F)</f>
        <v>3</v>
      </c>
      <c r="R153">
        <f>_xlfn.XLOOKUP(Table1[[#This Row],[session_id]],[1]chats_with_feedback!$A:$A,[1]chats_with_feedback!$G:$G)</f>
        <v>7</v>
      </c>
      <c r="S153">
        <f>_xlfn.XLOOKUP(Table1[[#This Row],[session_id]],[1]chats_with_feedback!$A:$A,[1]chats_with_feedback!$J:$J)</f>
        <v>2</v>
      </c>
      <c r="T153" t="str">
        <f>_xlfn.XLOOKUP(Table1[[#This Row],[csat_score]],Sheet2!A:A,Sheet2!D:D)</f>
        <v>Media</v>
      </c>
      <c r="U153" t="str">
        <f>_xlfn.XLOOKUP(Table1[[#This Row],[nps_score]],Sheet2!B:B,Sheet2!E:E)</f>
        <v>passive</v>
      </c>
      <c r="V153" t="str">
        <f>_xlfn.XLOOKUP(Table1[[#This Row],[resolution_numeric]],Sheet2!C:C,Sheet2!F:F)</f>
        <v>partial</v>
      </c>
      <c r="W153">
        <f>1</f>
        <v>1</v>
      </c>
      <c r="X153">
        <f>IF(ISBLANK(Table1[[#This Row],[nps_category]]),0,1)</f>
        <v>1</v>
      </c>
    </row>
    <row r="154" spans="1:24" x14ac:dyDescent="0.25">
      <c r="A154" t="s">
        <v>552</v>
      </c>
      <c r="B154" t="s">
        <v>553</v>
      </c>
      <c r="C154" s="1">
        <v>46144</v>
      </c>
      <c r="D154" t="s">
        <v>22</v>
      </c>
      <c r="E154" t="b">
        <v>0</v>
      </c>
      <c r="F154">
        <v>1</v>
      </c>
      <c r="G154" s="2">
        <v>0.23055555555555557</v>
      </c>
      <c r="H154" t="s">
        <v>554</v>
      </c>
      <c r="I154" t="s">
        <v>554</v>
      </c>
      <c r="J154" t="s">
        <v>22</v>
      </c>
      <c r="K154" t="b">
        <v>0</v>
      </c>
      <c r="L154" t="b">
        <v>0</v>
      </c>
      <c r="M154">
        <v>6.2963500000000003</v>
      </c>
      <c r="N154">
        <v>5</v>
      </c>
      <c r="O154" t="s">
        <v>113</v>
      </c>
      <c r="P154">
        <v>0.76929999999999998</v>
      </c>
      <c r="Q154">
        <f>_xlfn.XLOOKUP(Table1[[#This Row],[session_id]],[1]chats_with_feedback!$A:$A,[1]chats_with_feedback!$F:$F)</f>
        <v>5</v>
      </c>
      <c r="R154">
        <f>_xlfn.XLOOKUP(Table1[[#This Row],[session_id]],[1]chats_with_feedback!$A:$A,[1]chats_with_feedback!$G:$G)</f>
        <v>10</v>
      </c>
      <c r="S154">
        <f>_xlfn.XLOOKUP(Table1[[#This Row],[session_id]],[1]chats_with_feedback!$A:$A,[1]chats_with_feedback!$J:$J)</f>
        <v>3</v>
      </c>
      <c r="T154" t="str">
        <f>_xlfn.XLOOKUP(Table1[[#This Row],[csat_score]],Sheet2!A:A,Sheet2!D:D)</f>
        <v>Alta</v>
      </c>
      <c r="U154" t="str">
        <f>_xlfn.XLOOKUP(Table1[[#This Row],[nps_score]],Sheet2!B:B,Sheet2!E:E)</f>
        <v>promoter</v>
      </c>
      <c r="V154" t="str">
        <f>_xlfn.XLOOKUP(Table1[[#This Row],[resolution_numeric]],Sheet2!C:C,Sheet2!F:F)</f>
        <v>yes</v>
      </c>
      <c r="W154">
        <f>1</f>
        <v>1</v>
      </c>
      <c r="X154">
        <f>IF(ISBLANK(Table1[[#This Row],[nps_category]]),0,1)</f>
        <v>1</v>
      </c>
    </row>
    <row r="155" spans="1:24" x14ac:dyDescent="0.25">
      <c r="A155" t="s">
        <v>558</v>
      </c>
      <c r="B155" t="s">
        <v>559</v>
      </c>
      <c r="C155" s="1">
        <v>46144</v>
      </c>
      <c r="D155" t="s">
        <v>45</v>
      </c>
      <c r="E155" t="b">
        <v>1</v>
      </c>
      <c r="F155">
        <v>1</v>
      </c>
      <c r="G155" s="2">
        <v>0.3</v>
      </c>
      <c r="H155" t="s">
        <v>560</v>
      </c>
      <c r="I155" t="s">
        <v>560</v>
      </c>
      <c r="J155" t="s">
        <v>45</v>
      </c>
      <c r="K155" t="b">
        <v>1</v>
      </c>
      <c r="L155" t="b">
        <v>0</v>
      </c>
      <c r="M155">
        <v>8.4093</v>
      </c>
      <c r="N155">
        <v>5</v>
      </c>
      <c r="O155" t="s">
        <v>561</v>
      </c>
      <c r="P155">
        <v>0.28310000000000002</v>
      </c>
      <c r="Q155">
        <f>_xlfn.XLOOKUP(Table1[[#This Row],[session_id]],[1]chats_with_feedback!$A:$A,[1]chats_with_feedback!$F:$F)</f>
        <v>3</v>
      </c>
      <c r="R155">
        <f>_xlfn.XLOOKUP(Table1[[#This Row],[session_id]],[1]chats_with_feedback!$A:$A,[1]chats_with_feedback!$G:$G)</f>
        <v>7</v>
      </c>
      <c r="S155">
        <f>_xlfn.XLOOKUP(Table1[[#This Row],[session_id]],[1]chats_with_feedback!$A:$A,[1]chats_with_feedback!$J:$J)</f>
        <v>2</v>
      </c>
      <c r="T155" t="str">
        <f>_xlfn.XLOOKUP(Table1[[#This Row],[csat_score]],Sheet2!A:A,Sheet2!D:D)</f>
        <v>Media</v>
      </c>
      <c r="U155" t="str">
        <f>_xlfn.XLOOKUP(Table1[[#This Row],[nps_score]],Sheet2!B:B,Sheet2!E:E)</f>
        <v>passive</v>
      </c>
      <c r="V155" t="str">
        <f>_xlfn.XLOOKUP(Table1[[#This Row],[resolution_numeric]],Sheet2!C:C,Sheet2!F:F)</f>
        <v>partial</v>
      </c>
      <c r="W155">
        <f>1</f>
        <v>1</v>
      </c>
      <c r="X155">
        <f>IF(ISBLANK(Table1[[#This Row],[nps_category]]),0,1)</f>
        <v>1</v>
      </c>
    </row>
    <row r="156" spans="1:24" x14ac:dyDescent="0.25">
      <c r="A156" t="s">
        <v>562</v>
      </c>
      <c r="B156" t="s">
        <v>563</v>
      </c>
      <c r="C156" s="1">
        <v>46144</v>
      </c>
      <c r="D156" t="s">
        <v>22</v>
      </c>
      <c r="E156" t="b">
        <v>0</v>
      </c>
      <c r="F156">
        <v>1</v>
      </c>
      <c r="G156" s="2">
        <v>0.33680555555555558</v>
      </c>
      <c r="H156" t="s">
        <v>564</v>
      </c>
      <c r="I156" t="s">
        <v>564</v>
      </c>
      <c r="J156" t="s">
        <v>22</v>
      </c>
      <c r="K156" t="b">
        <v>0</v>
      </c>
      <c r="L156" t="b">
        <v>0</v>
      </c>
      <c r="M156">
        <v>5.6277500000000007</v>
      </c>
      <c r="N156">
        <v>5</v>
      </c>
      <c r="O156" t="s">
        <v>273</v>
      </c>
      <c r="P156">
        <v>0.32579999999999998</v>
      </c>
      <c r="Q156">
        <f>_xlfn.XLOOKUP(Table1[[#This Row],[session_id]],[1]chats_with_feedback!$A:$A,[1]chats_with_feedback!$F:$F)</f>
        <v>3</v>
      </c>
      <c r="R156">
        <f>_xlfn.XLOOKUP(Table1[[#This Row],[session_id]],[1]chats_with_feedback!$A:$A,[1]chats_with_feedback!$G:$G)</f>
        <v>7</v>
      </c>
      <c r="S156">
        <f>_xlfn.XLOOKUP(Table1[[#This Row],[session_id]],[1]chats_with_feedback!$A:$A,[1]chats_with_feedback!$J:$J)</f>
        <v>2</v>
      </c>
      <c r="T156" t="str">
        <f>_xlfn.XLOOKUP(Table1[[#This Row],[csat_score]],Sheet2!A:A,Sheet2!D:D)</f>
        <v>Media</v>
      </c>
      <c r="U156" t="str">
        <f>_xlfn.XLOOKUP(Table1[[#This Row],[nps_score]],Sheet2!B:B,Sheet2!E:E)</f>
        <v>passive</v>
      </c>
      <c r="V156" t="str">
        <f>_xlfn.XLOOKUP(Table1[[#This Row],[resolution_numeric]],Sheet2!C:C,Sheet2!F:F)</f>
        <v>partial</v>
      </c>
      <c r="W156">
        <f>1</f>
        <v>1</v>
      </c>
      <c r="X156">
        <f>IF(ISBLANK(Table1[[#This Row],[nps_category]]),0,1)</f>
        <v>1</v>
      </c>
    </row>
    <row r="157" spans="1:24" x14ac:dyDescent="0.25">
      <c r="A157" t="s">
        <v>569</v>
      </c>
      <c r="B157" t="s">
        <v>570</v>
      </c>
      <c r="C157" s="1">
        <v>46144</v>
      </c>
      <c r="D157" t="s">
        <v>45</v>
      </c>
      <c r="E157" t="b">
        <v>1</v>
      </c>
      <c r="F157">
        <v>1</v>
      </c>
      <c r="G157" s="2">
        <v>0.53402777777777777</v>
      </c>
      <c r="H157" t="s">
        <v>571</v>
      </c>
      <c r="I157" t="s">
        <v>571</v>
      </c>
      <c r="J157" t="s">
        <v>45</v>
      </c>
      <c r="K157" t="b">
        <v>1</v>
      </c>
      <c r="L157" t="b">
        <v>0</v>
      </c>
      <c r="M157">
        <v>7.4790666666666592</v>
      </c>
      <c r="N157">
        <v>5</v>
      </c>
      <c r="O157" t="s">
        <v>572</v>
      </c>
      <c r="P157">
        <v>0.37590000000000001</v>
      </c>
      <c r="Q157">
        <f>_xlfn.XLOOKUP(Table1[[#This Row],[session_id]],[1]chats_with_feedback!$A:$A,[1]chats_with_feedback!$F:$F)</f>
        <v>3</v>
      </c>
      <c r="R157">
        <f>_xlfn.XLOOKUP(Table1[[#This Row],[session_id]],[1]chats_with_feedback!$A:$A,[1]chats_with_feedback!$G:$G)</f>
        <v>7</v>
      </c>
      <c r="S157">
        <f>_xlfn.XLOOKUP(Table1[[#This Row],[session_id]],[1]chats_with_feedback!$A:$A,[1]chats_with_feedback!$J:$J)</f>
        <v>2</v>
      </c>
      <c r="T157" t="str">
        <f>_xlfn.XLOOKUP(Table1[[#This Row],[csat_score]],Sheet2!A:A,Sheet2!D:D)</f>
        <v>Media</v>
      </c>
      <c r="U157" t="str">
        <f>_xlfn.XLOOKUP(Table1[[#This Row],[nps_score]],Sheet2!B:B,Sheet2!E:E)</f>
        <v>passive</v>
      </c>
      <c r="V157" t="str">
        <f>_xlfn.XLOOKUP(Table1[[#This Row],[resolution_numeric]],Sheet2!C:C,Sheet2!F:F)</f>
        <v>partial</v>
      </c>
      <c r="W157">
        <f>1</f>
        <v>1</v>
      </c>
      <c r="X157">
        <f>IF(ISBLANK(Table1[[#This Row],[nps_category]]),0,1)</f>
        <v>1</v>
      </c>
    </row>
    <row r="158" spans="1:24" x14ac:dyDescent="0.25">
      <c r="A158" t="s">
        <v>588</v>
      </c>
      <c r="B158" t="s">
        <v>589</v>
      </c>
      <c r="C158" s="1">
        <v>46144</v>
      </c>
      <c r="D158" t="s">
        <v>22</v>
      </c>
      <c r="E158" t="b">
        <v>0</v>
      </c>
      <c r="F158">
        <v>1</v>
      </c>
      <c r="G158" s="2">
        <v>0.26319444444444445</v>
      </c>
      <c r="H158" t="s">
        <v>590</v>
      </c>
      <c r="I158" t="s">
        <v>590</v>
      </c>
      <c r="J158" t="s">
        <v>22</v>
      </c>
      <c r="K158" t="b">
        <v>0</v>
      </c>
      <c r="L158" t="b">
        <v>0</v>
      </c>
      <c r="M158">
        <v>4.3361666666666601</v>
      </c>
      <c r="N158">
        <v>5</v>
      </c>
      <c r="O158" t="s">
        <v>591</v>
      </c>
      <c r="P158">
        <v>0.35460000000000003</v>
      </c>
      <c r="Q158">
        <f>_xlfn.XLOOKUP(Table1[[#This Row],[session_id]],[1]chats_with_feedback!$A:$A,[1]chats_with_feedback!$F:$F)</f>
        <v>3</v>
      </c>
      <c r="R158">
        <f>_xlfn.XLOOKUP(Table1[[#This Row],[session_id]],[1]chats_with_feedback!$A:$A,[1]chats_with_feedback!$G:$G)</f>
        <v>7</v>
      </c>
      <c r="S158">
        <f>_xlfn.XLOOKUP(Table1[[#This Row],[session_id]],[1]chats_with_feedback!$A:$A,[1]chats_with_feedback!$J:$J)</f>
        <v>2</v>
      </c>
      <c r="T158" t="str">
        <f>_xlfn.XLOOKUP(Table1[[#This Row],[csat_score]],Sheet2!A:A,Sheet2!D:D)</f>
        <v>Media</v>
      </c>
      <c r="U158" t="str">
        <f>_xlfn.XLOOKUP(Table1[[#This Row],[nps_score]],Sheet2!B:B,Sheet2!E:E)</f>
        <v>passive</v>
      </c>
      <c r="V158" t="str">
        <f>_xlfn.XLOOKUP(Table1[[#This Row],[resolution_numeric]],Sheet2!C:C,Sheet2!F:F)</f>
        <v>partial</v>
      </c>
      <c r="W158">
        <f>1</f>
        <v>1</v>
      </c>
      <c r="X158">
        <f>IF(ISBLANK(Table1[[#This Row],[nps_category]]),0,1)</f>
        <v>1</v>
      </c>
    </row>
    <row r="159" spans="1:24" x14ac:dyDescent="0.25">
      <c r="A159" t="s">
        <v>604</v>
      </c>
      <c r="B159" t="s">
        <v>605</v>
      </c>
      <c r="C159" s="1">
        <v>46144</v>
      </c>
      <c r="D159" t="s">
        <v>22</v>
      </c>
      <c r="E159" t="b">
        <v>0</v>
      </c>
      <c r="F159">
        <v>1</v>
      </c>
      <c r="G159" s="2">
        <v>0.28472222222222221</v>
      </c>
      <c r="H159" t="s">
        <v>606</v>
      </c>
      <c r="I159" t="s">
        <v>606</v>
      </c>
      <c r="J159" t="s">
        <v>22</v>
      </c>
      <c r="K159" t="b">
        <v>0</v>
      </c>
      <c r="L159" t="b">
        <v>0</v>
      </c>
      <c r="M159">
        <v>6.5625333333333309</v>
      </c>
      <c r="N159">
        <v>5</v>
      </c>
      <c r="O159" t="s">
        <v>607</v>
      </c>
      <c r="P159">
        <v>0.34889999999999999</v>
      </c>
      <c r="Q159">
        <f>_xlfn.XLOOKUP(Table1[[#This Row],[session_id]],[1]chats_with_feedback!$A:$A,[1]chats_with_feedback!$F:$F)</f>
        <v>3</v>
      </c>
      <c r="R159">
        <f>_xlfn.XLOOKUP(Table1[[#This Row],[session_id]],[1]chats_with_feedback!$A:$A,[1]chats_with_feedback!$G:$G)</f>
        <v>7</v>
      </c>
      <c r="S159">
        <f>_xlfn.XLOOKUP(Table1[[#This Row],[session_id]],[1]chats_with_feedback!$A:$A,[1]chats_with_feedback!$J:$J)</f>
        <v>2</v>
      </c>
      <c r="T159" t="str">
        <f>_xlfn.XLOOKUP(Table1[[#This Row],[csat_score]],Sheet2!A:A,Sheet2!D:D)</f>
        <v>Media</v>
      </c>
      <c r="U159" t="str">
        <f>_xlfn.XLOOKUP(Table1[[#This Row],[nps_score]],Sheet2!B:B,Sheet2!E:E)</f>
        <v>passive</v>
      </c>
      <c r="V159" t="str">
        <f>_xlfn.XLOOKUP(Table1[[#This Row],[resolution_numeric]],Sheet2!C:C,Sheet2!F:F)</f>
        <v>partial</v>
      </c>
      <c r="W159">
        <f>1</f>
        <v>1</v>
      </c>
      <c r="X159">
        <f>IF(ISBLANK(Table1[[#This Row],[nps_category]]),0,1)</f>
        <v>1</v>
      </c>
    </row>
    <row r="160" spans="1:24" x14ac:dyDescent="0.25">
      <c r="A160" t="s">
        <v>611</v>
      </c>
      <c r="B160" t="s">
        <v>612</v>
      </c>
      <c r="C160" s="1">
        <v>46144</v>
      </c>
      <c r="D160" t="s">
        <v>22</v>
      </c>
      <c r="E160" t="b">
        <v>0</v>
      </c>
      <c r="F160">
        <v>1</v>
      </c>
      <c r="G160" s="2">
        <v>0.88472222222222219</v>
      </c>
      <c r="H160" t="s">
        <v>613</v>
      </c>
      <c r="I160" t="s">
        <v>613</v>
      </c>
      <c r="J160" t="s">
        <v>22</v>
      </c>
      <c r="K160" t="b">
        <v>0</v>
      </c>
      <c r="L160" t="b">
        <v>0</v>
      </c>
      <c r="M160">
        <v>7.4903500000000003</v>
      </c>
      <c r="N160">
        <v>5</v>
      </c>
      <c r="O160" t="s">
        <v>36</v>
      </c>
      <c r="P160">
        <v>0.33229999999999998</v>
      </c>
      <c r="Q160">
        <f>_xlfn.XLOOKUP(Table1[[#This Row],[session_id]],[1]chats_with_feedback!$A:$A,[1]chats_with_feedback!$F:$F)</f>
        <v>3</v>
      </c>
      <c r="R160">
        <f>_xlfn.XLOOKUP(Table1[[#This Row],[session_id]],[1]chats_with_feedback!$A:$A,[1]chats_with_feedback!$G:$G)</f>
        <v>7</v>
      </c>
      <c r="S160">
        <f>_xlfn.XLOOKUP(Table1[[#This Row],[session_id]],[1]chats_with_feedback!$A:$A,[1]chats_with_feedback!$J:$J)</f>
        <v>2</v>
      </c>
      <c r="T160" t="str">
        <f>_xlfn.XLOOKUP(Table1[[#This Row],[csat_score]],Sheet2!A:A,Sheet2!D:D)</f>
        <v>Media</v>
      </c>
      <c r="U160" t="str">
        <f>_xlfn.XLOOKUP(Table1[[#This Row],[nps_score]],Sheet2!B:B,Sheet2!E:E)</f>
        <v>passive</v>
      </c>
      <c r="V160" t="str">
        <f>_xlfn.XLOOKUP(Table1[[#This Row],[resolution_numeric]],Sheet2!C:C,Sheet2!F:F)</f>
        <v>partial</v>
      </c>
      <c r="W160">
        <f>1</f>
        <v>1</v>
      </c>
      <c r="X160">
        <f>IF(ISBLANK(Table1[[#This Row],[nps_category]]),0,1)</f>
        <v>1</v>
      </c>
    </row>
    <row r="161" spans="1:24" x14ac:dyDescent="0.25">
      <c r="A161" t="s">
        <v>614</v>
      </c>
      <c r="B161" t="s">
        <v>615</v>
      </c>
      <c r="C161" s="1">
        <v>46144</v>
      </c>
      <c r="D161" t="s">
        <v>22</v>
      </c>
      <c r="E161" t="b">
        <v>0</v>
      </c>
      <c r="F161">
        <v>1</v>
      </c>
      <c r="G161" s="2">
        <v>0.52708333333333335</v>
      </c>
      <c r="H161" t="s">
        <v>616</v>
      </c>
      <c r="I161" t="s">
        <v>616</v>
      </c>
      <c r="J161" t="s">
        <v>22</v>
      </c>
      <c r="K161" t="b">
        <v>0</v>
      </c>
      <c r="L161" t="b">
        <v>0</v>
      </c>
      <c r="M161">
        <v>5.7415666666666603</v>
      </c>
      <c r="N161">
        <v>5</v>
      </c>
      <c r="O161" t="s">
        <v>617</v>
      </c>
      <c r="P161">
        <v>0.26290000000000002</v>
      </c>
      <c r="Q161">
        <f>_xlfn.XLOOKUP(Table1[[#This Row],[session_id]],[1]chats_with_feedback!$A:$A,[1]chats_with_feedback!$F:$F)</f>
        <v>2</v>
      </c>
      <c r="R161">
        <f>_xlfn.XLOOKUP(Table1[[#This Row],[session_id]],[1]chats_with_feedback!$A:$A,[1]chats_with_feedback!$G:$G)</f>
        <v>3</v>
      </c>
      <c r="S161">
        <f>_xlfn.XLOOKUP(Table1[[#This Row],[session_id]],[1]chats_with_feedback!$A:$A,[1]chats_with_feedback!$J:$J)</f>
        <v>1</v>
      </c>
      <c r="T161" t="str">
        <f>_xlfn.XLOOKUP(Table1[[#This Row],[csat_score]],Sheet2!A:A,Sheet2!D:D)</f>
        <v>Baja</v>
      </c>
      <c r="U161" t="str">
        <f>_xlfn.XLOOKUP(Table1[[#This Row],[nps_score]],Sheet2!B:B,Sheet2!E:E)</f>
        <v>detractor</v>
      </c>
      <c r="V161" t="str">
        <f>_xlfn.XLOOKUP(Table1[[#This Row],[resolution_numeric]],Sheet2!C:C,Sheet2!F:F)</f>
        <v>no</v>
      </c>
      <c r="W161">
        <f>1</f>
        <v>1</v>
      </c>
      <c r="X161">
        <f>IF(ISBLANK(Table1[[#This Row],[nps_category]]),0,1)</f>
        <v>1</v>
      </c>
    </row>
    <row r="162" spans="1:24" x14ac:dyDescent="0.25">
      <c r="A162" s="3" t="s">
        <v>621</v>
      </c>
      <c r="B162" t="s">
        <v>622</v>
      </c>
      <c r="C162" s="1">
        <v>46144</v>
      </c>
      <c r="D162" t="s">
        <v>45</v>
      </c>
      <c r="E162" t="b">
        <v>1</v>
      </c>
      <c r="F162">
        <v>1</v>
      </c>
      <c r="G162" s="2">
        <v>0.92222222222222228</v>
      </c>
      <c r="H162" t="s">
        <v>623</v>
      </c>
      <c r="I162" t="s">
        <v>623</v>
      </c>
      <c r="J162" t="s">
        <v>45</v>
      </c>
      <c r="K162" t="b">
        <v>1</v>
      </c>
      <c r="L162" t="b">
        <v>0</v>
      </c>
      <c r="M162">
        <v>5.6494</v>
      </c>
      <c r="N162">
        <v>5</v>
      </c>
      <c r="O162" t="s">
        <v>624</v>
      </c>
      <c r="P162">
        <v>0.34520000000000001</v>
      </c>
      <c r="Q162">
        <f>_xlfn.XLOOKUP(Table1[[#This Row],[session_id]],[1]chats_with_feedback!$A:$A,[1]chats_with_feedback!$F:$F)</f>
        <v>3</v>
      </c>
      <c r="R162">
        <f>_xlfn.XLOOKUP(Table1[[#This Row],[session_id]],[1]chats_with_feedback!$A:$A,[1]chats_with_feedback!$G:$G)</f>
        <v>7</v>
      </c>
      <c r="S162">
        <f>_xlfn.XLOOKUP(Table1[[#This Row],[session_id]],[1]chats_with_feedback!$A:$A,[1]chats_with_feedback!$J:$J)</f>
        <v>2</v>
      </c>
      <c r="T162" t="str">
        <f>_xlfn.XLOOKUP(Table1[[#This Row],[csat_score]],Sheet2!A:A,Sheet2!D:D)</f>
        <v>Media</v>
      </c>
      <c r="U162" t="str">
        <f>_xlfn.XLOOKUP(Table1[[#This Row],[nps_score]],Sheet2!B:B,Sheet2!E:E)</f>
        <v>passive</v>
      </c>
      <c r="V162" t="str">
        <f>_xlfn.XLOOKUP(Table1[[#This Row],[resolution_numeric]],Sheet2!C:C,Sheet2!F:F)</f>
        <v>partial</v>
      </c>
      <c r="W162">
        <f>1</f>
        <v>1</v>
      </c>
      <c r="X162">
        <f>IF(ISBLANK(Table1[[#This Row],[nps_category]]),0,1)</f>
        <v>1</v>
      </c>
    </row>
    <row r="163" spans="1:24" x14ac:dyDescent="0.25">
      <c r="A163" t="s">
        <v>633</v>
      </c>
      <c r="B163" t="s">
        <v>634</v>
      </c>
      <c r="C163" s="1">
        <v>46144</v>
      </c>
      <c r="D163" t="s">
        <v>22</v>
      </c>
      <c r="E163" t="b">
        <v>0</v>
      </c>
      <c r="F163">
        <v>1</v>
      </c>
      <c r="G163" s="2">
        <v>0.98750000000000004</v>
      </c>
      <c r="H163" t="s">
        <v>635</v>
      </c>
      <c r="I163" t="s">
        <v>635</v>
      </c>
      <c r="J163" t="s">
        <v>22</v>
      </c>
      <c r="K163" t="b">
        <v>0</v>
      </c>
      <c r="L163" t="b">
        <v>0</v>
      </c>
      <c r="M163">
        <v>7.1810333333333309</v>
      </c>
      <c r="N163">
        <v>5</v>
      </c>
      <c r="O163" t="s">
        <v>636</v>
      </c>
      <c r="P163">
        <v>0.31509999999999999</v>
      </c>
      <c r="Q163">
        <f>_xlfn.XLOOKUP(Table1[[#This Row],[session_id]],[1]chats_with_feedback!$A:$A,[1]chats_with_feedback!$F:$F)</f>
        <v>3</v>
      </c>
      <c r="R163">
        <f>_xlfn.XLOOKUP(Table1[[#This Row],[session_id]],[1]chats_with_feedback!$A:$A,[1]chats_with_feedback!$G:$G)</f>
        <v>7</v>
      </c>
      <c r="S163">
        <f>_xlfn.XLOOKUP(Table1[[#This Row],[session_id]],[1]chats_with_feedback!$A:$A,[1]chats_with_feedback!$J:$J)</f>
        <v>2</v>
      </c>
      <c r="T163" t="str">
        <f>_xlfn.XLOOKUP(Table1[[#This Row],[csat_score]],Sheet2!A:A,Sheet2!D:D)</f>
        <v>Media</v>
      </c>
      <c r="U163" t="str">
        <f>_xlfn.XLOOKUP(Table1[[#This Row],[nps_score]],Sheet2!B:B,Sheet2!E:E)</f>
        <v>passive</v>
      </c>
      <c r="V163" t="str">
        <f>_xlfn.XLOOKUP(Table1[[#This Row],[resolution_numeric]],Sheet2!C:C,Sheet2!F:F)</f>
        <v>partial</v>
      </c>
      <c r="W163">
        <f>1</f>
        <v>1</v>
      </c>
      <c r="X163">
        <f>IF(ISBLANK(Table1[[#This Row],[nps_category]]),0,1)</f>
        <v>1</v>
      </c>
    </row>
    <row r="164" spans="1:24" x14ac:dyDescent="0.25">
      <c r="A164" t="s">
        <v>644</v>
      </c>
      <c r="B164" t="s">
        <v>645</v>
      </c>
      <c r="C164" s="1">
        <v>46144</v>
      </c>
      <c r="D164" t="s">
        <v>45</v>
      </c>
      <c r="E164" t="b">
        <v>1</v>
      </c>
      <c r="F164">
        <v>1</v>
      </c>
      <c r="G164" s="2">
        <v>0.73888888888888893</v>
      </c>
      <c r="H164" t="s">
        <v>646</v>
      </c>
      <c r="I164" t="s">
        <v>646</v>
      </c>
      <c r="J164" t="s">
        <v>45</v>
      </c>
      <c r="K164" t="b">
        <v>1</v>
      </c>
      <c r="L164" t="b">
        <v>0</v>
      </c>
      <c r="M164">
        <v>3.4949666666666603</v>
      </c>
      <c r="N164">
        <v>5</v>
      </c>
      <c r="O164" t="s">
        <v>647</v>
      </c>
      <c r="P164">
        <v>0.35470000000000002</v>
      </c>
      <c r="Q164">
        <f>_xlfn.XLOOKUP(Table1[[#This Row],[session_id]],[1]chats_with_feedback!$A:$A,[1]chats_with_feedback!$F:$F)</f>
        <v>3</v>
      </c>
      <c r="R164">
        <f>_xlfn.XLOOKUP(Table1[[#This Row],[session_id]],[1]chats_with_feedback!$A:$A,[1]chats_with_feedback!$G:$G)</f>
        <v>7</v>
      </c>
      <c r="S164">
        <f>_xlfn.XLOOKUP(Table1[[#This Row],[session_id]],[1]chats_with_feedback!$A:$A,[1]chats_with_feedback!$J:$J)</f>
        <v>2</v>
      </c>
      <c r="T164" t="str">
        <f>_xlfn.XLOOKUP(Table1[[#This Row],[csat_score]],Sheet2!A:A,Sheet2!D:D)</f>
        <v>Media</v>
      </c>
      <c r="U164" t="str">
        <f>_xlfn.XLOOKUP(Table1[[#This Row],[nps_score]],Sheet2!B:B,Sheet2!E:E)</f>
        <v>passive</v>
      </c>
      <c r="V164" t="str">
        <f>_xlfn.XLOOKUP(Table1[[#This Row],[resolution_numeric]],Sheet2!C:C,Sheet2!F:F)</f>
        <v>partial</v>
      </c>
      <c r="W164">
        <f>1</f>
        <v>1</v>
      </c>
      <c r="X164">
        <f>IF(ISBLANK(Table1[[#This Row],[nps_category]]),0,1)</f>
        <v>1</v>
      </c>
    </row>
    <row r="165" spans="1:24" x14ac:dyDescent="0.25">
      <c r="A165" t="s">
        <v>654</v>
      </c>
      <c r="B165" t="s">
        <v>655</v>
      </c>
      <c r="C165" s="1">
        <v>46144</v>
      </c>
      <c r="D165" t="s">
        <v>45</v>
      </c>
      <c r="E165" t="b">
        <v>1</v>
      </c>
      <c r="F165">
        <v>1</v>
      </c>
      <c r="G165" s="2">
        <v>0.71944444444444444</v>
      </c>
      <c r="H165" t="s">
        <v>656</v>
      </c>
      <c r="I165" t="s">
        <v>656</v>
      </c>
      <c r="J165" t="s">
        <v>45</v>
      </c>
      <c r="K165" t="b">
        <v>1</v>
      </c>
      <c r="L165" t="b">
        <v>0</v>
      </c>
      <c r="M165">
        <v>7.9624833333333305</v>
      </c>
      <c r="N165">
        <v>5</v>
      </c>
      <c r="O165" t="s">
        <v>657</v>
      </c>
      <c r="P165">
        <v>0.3165</v>
      </c>
      <c r="Q165">
        <f>_xlfn.XLOOKUP(Table1[[#This Row],[session_id]],[1]chats_with_feedback!$A:$A,[1]chats_with_feedback!$F:$F)</f>
        <v>3</v>
      </c>
      <c r="R165">
        <f>_xlfn.XLOOKUP(Table1[[#This Row],[session_id]],[1]chats_with_feedback!$A:$A,[1]chats_with_feedback!$G:$G)</f>
        <v>7</v>
      </c>
      <c r="S165">
        <f>_xlfn.XLOOKUP(Table1[[#This Row],[session_id]],[1]chats_with_feedback!$A:$A,[1]chats_with_feedback!$J:$J)</f>
        <v>2</v>
      </c>
      <c r="T165" t="str">
        <f>_xlfn.XLOOKUP(Table1[[#This Row],[csat_score]],Sheet2!A:A,Sheet2!D:D)</f>
        <v>Media</v>
      </c>
      <c r="U165" t="str">
        <f>_xlfn.XLOOKUP(Table1[[#This Row],[nps_score]],Sheet2!B:B,Sheet2!E:E)</f>
        <v>passive</v>
      </c>
      <c r="V165" t="str">
        <f>_xlfn.XLOOKUP(Table1[[#This Row],[resolution_numeric]],Sheet2!C:C,Sheet2!F:F)</f>
        <v>partial</v>
      </c>
      <c r="W165">
        <f>1</f>
        <v>1</v>
      </c>
      <c r="X165">
        <f>IF(ISBLANK(Table1[[#This Row],[nps_category]]),0,1)</f>
        <v>1</v>
      </c>
    </row>
    <row r="166" spans="1:24" x14ac:dyDescent="0.25">
      <c r="A166" t="s">
        <v>658</v>
      </c>
      <c r="B166" t="s">
        <v>659</v>
      </c>
      <c r="C166" s="1">
        <v>46144</v>
      </c>
      <c r="D166" t="s">
        <v>45</v>
      </c>
      <c r="E166" t="b">
        <v>1</v>
      </c>
      <c r="F166">
        <v>1</v>
      </c>
      <c r="G166" s="2">
        <v>0.52152777777777781</v>
      </c>
      <c r="H166" t="s">
        <v>660</v>
      </c>
      <c r="I166" t="s">
        <v>660</v>
      </c>
      <c r="J166" t="s">
        <v>45</v>
      </c>
      <c r="K166" t="b">
        <v>1</v>
      </c>
      <c r="L166" t="b">
        <v>0</v>
      </c>
      <c r="M166">
        <v>11.7088</v>
      </c>
      <c r="N166">
        <v>5</v>
      </c>
      <c r="O166" t="s">
        <v>229</v>
      </c>
      <c r="P166">
        <v>0.1865</v>
      </c>
      <c r="Q166">
        <f>_xlfn.XLOOKUP(Table1[[#This Row],[session_id]],[1]chats_with_feedback!$A:$A,[1]chats_with_feedback!$F:$F)</f>
        <v>2</v>
      </c>
      <c r="R166">
        <f>_xlfn.XLOOKUP(Table1[[#This Row],[session_id]],[1]chats_with_feedback!$A:$A,[1]chats_with_feedback!$G:$G)</f>
        <v>3</v>
      </c>
      <c r="S166">
        <f>_xlfn.XLOOKUP(Table1[[#This Row],[session_id]],[1]chats_with_feedback!$A:$A,[1]chats_with_feedback!$J:$J)</f>
        <v>1</v>
      </c>
      <c r="T166" t="str">
        <f>_xlfn.XLOOKUP(Table1[[#This Row],[csat_score]],Sheet2!A:A,Sheet2!D:D)</f>
        <v>Baja</v>
      </c>
      <c r="U166" t="str">
        <f>_xlfn.XLOOKUP(Table1[[#This Row],[nps_score]],Sheet2!B:B,Sheet2!E:E)</f>
        <v>detractor</v>
      </c>
      <c r="V166" t="str">
        <f>_xlfn.XLOOKUP(Table1[[#This Row],[resolution_numeric]],Sheet2!C:C,Sheet2!F:F)</f>
        <v>no</v>
      </c>
      <c r="W166">
        <f>1</f>
        <v>1</v>
      </c>
      <c r="X166">
        <f>IF(ISBLANK(Table1[[#This Row],[nps_category]]),0,1)</f>
        <v>1</v>
      </c>
    </row>
    <row r="167" spans="1:24" x14ac:dyDescent="0.25">
      <c r="A167" t="s">
        <v>661</v>
      </c>
      <c r="B167" t="s">
        <v>662</v>
      </c>
      <c r="C167" s="1">
        <v>46144</v>
      </c>
      <c r="D167" t="s">
        <v>45</v>
      </c>
      <c r="E167" t="b">
        <v>1</v>
      </c>
      <c r="F167">
        <v>1</v>
      </c>
      <c r="G167" s="2">
        <v>0.62638888888888888</v>
      </c>
      <c r="H167" t="s">
        <v>663</v>
      </c>
      <c r="I167" t="s">
        <v>663</v>
      </c>
      <c r="J167" t="s">
        <v>45</v>
      </c>
      <c r="K167" t="b">
        <v>1</v>
      </c>
      <c r="L167" t="b">
        <v>0</v>
      </c>
      <c r="M167">
        <v>4.71075</v>
      </c>
      <c r="N167">
        <v>5</v>
      </c>
      <c r="O167" t="s">
        <v>24</v>
      </c>
      <c r="P167">
        <v>0.2107</v>
      </c>
      <c r="Q167">
        <f>_xlfn.XLOOKUP(Table1[[#This Row],[session_id]],[1]chats_with_feedback!$A:$A,[1]chats_with_feedback!$F:$F)</f>
        <v>2</v>
      </c>
      <c r="R167">
        <f>_xlfn.XLOOKUP(Table1[[#This Row],[session_id]],[1]chats_with_feedback!$A:$A,[1]chats_with_feedback!$G:$G)</f>
        <v>3</v>
      </c>
      <c r="S167">
        <f>_xlfn.XLOOKUP(Table1[[#This Row],[session_id]],[1]chats_with_feedback!$A:$A,[1]chats_with_feedback!$J:$J)</f>
        <v>1</v>
      </c>
      <c r="T167" t="str">
        <f>_xlfn.XLOOKUP(Table1[[#This Row],[csat_score]],Sheet2!A:A,Sheet2!D:D)</f>
        <v>Baja</v>
      </c>
      <c r="U167" t="str">
        <f>_xlfn.XLOOKUP(Table1[[#This Row],[nps_score]],Sheet2!B:B,Sheet2!E:E)</f>
        <v>detractor</v>
      </c>
      <c r="V167" t="str">
        <f>_xlfn.XLOOKUP(Table1[[#This Row],[resolution_numeric]],Sheet2!C:C,Sheet2!F:F)</f>
        <v>no</v>
      </c>
      <c r="W167">
        <f>1</f>
        <v>1</v>
      </c>
      <c r="X167">
        <f>IF(ISBLANK(Table1[[#This Row],[nps_category]]),0,1)</f>
        <v>1</v>
      </c>
    </row>
    <row r="168" spans="1:24" x14ac:dyDescent="0.25">
      <c r="A168" t="s">
        <v>677</v>
      </c>
      <c r="B168" t="s">
        <v>678</v>
      </c>
      <c r="C168" s="1">
        <v>46144</v>
      </c>
      <c r="D168" t="s">
        <v>45</v>
      </c>
      <c r="E168" t="b">
        <v>1</v>
      </c>
      <c r="F168">
        <v>1</v>
      </c>
      <c r="G168" s="2">
        <v>0.21388888888888888</v>
      </c>
      <c r="H168" t="s">
        <v>679</v>
      </c>
      <c r="I168" t="s">
        <v>679</v>
      </c>
      <c r="J168" t="s">
        <v>45</v>
      </c>
      <c r="K168" t="b">
        <v>1</v>
      </c>
      <c r="L168" t="b">
        <v>0</v>
      </c>
      <c r="M168">
        <v>4.2320000000000002</v>
      </c>
      <c r="N168">
        <v>5</v>
      </c>
      <c r="O168" t="s">
        <v>381</v>
      </c>
      <c r="P168">
        <v>0.311</v>
      </c>
      <c r="Q168">
        <f>_xlfn.XLOOKUP(Table1[[#This Row],[session_id]],[1]chats_with_feedback!$A:$A,[1]chats_with_feedback!$F:$F)</f>
        <v>3</v>
      </c>
      <c r="R168">
        <f>_xlfn.XLOOKUP(Table1[[#This Row],[session_id]],[1]chats_with_feedback!$A:$A,[1]chats_with_feedback!$G:$G)</f>
        <v>7</v>
      </c>
      <c r="S168">
        <f>_xlfn.XLOOKUP(Table1[[#This Row],[session_id]],[1]chats_with_feedback!$A:$A,[1]chats_with_feedback!$J:$J)</f>
        <v>2</v>
      </c>
      <c r="T168" t="str">
        <f>_xlfn.XLOOKUP(Table1[[#This Row],[csat_score]],Sheet2!A:A,Sheet2!D:D)</f>
        <v>Media</v>
      </c>
      <c r="U168" t="str">
        <f>_xlfn.XLOOKUP(Table1[[#This Row],[nps_score]],Sheet2!B:B,Sheet2!E:E)</f>
        <v>passive</v>
      </c>
      <c r="V168" t="str">
        <f>_xlfn.XLOOKUP(Table1[[#This Row],[resolution_numeric]],Sheet2!C:C,Sheet2!F:F)</f>
        <v>partial</v>
      </c>
      <c r="W168">
        <f>1</f>
        <v>1</v>
      </c>
      <c r="X168">
        <f>IF(ISBLANK(Table1[[#This Row],[nps_category]]),0,1)</f>
        <v>1</v>
      </c>
    </row>
    <row r="169" spans="1:24" x14ac:dyDescent="0.25">
      <c r="A169" t="s">
        <v>680</v>
      </c>
      <c r="B169" t="s">
        <v>681</v>
      </c>
      <c r="C169" s="1">
        <v>46144</v>
      </c>
      <c r="D169" t="s">
        <v>45</v>
      </c>
      <c r="E169" t="b">
        <v>1</v>
      </c>
      <c r="F169">
        <v>1</v>
      </c>
      <c r="G169" s="2">
        <v>0.67847222222222225</v>
      </c>
      <c r="H169" t="s">
        <v>682</v>
      </c>
      <c r="I169" t="s">
        <v>682</v>
      </c>
      <c r="J169" t="s">
        <v>45</v>
      </c>
      <c r="K169" t="b">
        <v>1</v>
      </c>
      <c r="L169" t="b">
        <v>0</v>
      </c>
      <c r="M169">
        <v>7.59493333333333</v>
      </c>
      <c r="N169">
        <v>5</v>
      </c>
      <c r="O169" t="s">
        <v>683</v>
      </c>
      <c r="P169">
        <v>0.57879999999999998</v>
      </c>
      <c r="Q169">
        <f>_xlfn.XLOOKUP(Table1[[#This Row],[session_id]],[1]chats_with_feedback!$A:$A,[1]chats_with_feedback!$F:$F)</f>
        <v>5</v>
      </c>
      <c r="R169">
        <f>_xlfn.XLOOKUP(Table1[[#This Row],[session_id]],[1]chats_with_feedback!$A:$A,[1]chats_with_feedback!$G:$G)</f>
        <v>10</v>
      </c>
      <c r="S169">
        <f>_xlfn.XLOOKUP(Table1[[#This Row],[session_id]],[1]chats_with_feedback!$A:$A,[1]chats_with_feedback!$J:$J)</f>
        <v>3</v>
      </c>
      <c r="T169" t="str">
        <f>_xlfn.XLOOKUP(Table1[[#This Row],[csat_score]],Sheet2!A:A,Sheet2!D:D)</f>
        <v>Alta</v>
      </c>
      <c r="U169" t="str">
        <f>_xlfn.XLOOKUP(Table1[[#This Row],[nps_score]],Sheet2!B:B,Sheet2!E:E)</f>
        <v>promoter</v>
      </c>
      <c r="V169" t="str">
        <f>_xlfn.XLOOKUP(Table1[[#This Row],[resolution_numeric]],Sheet2!C:C,Sheet2!F:F)</f>
        <v>yes</v>
      </c>
      <c r="W169">
        <f>1</f>
        <v>1</v>
      </c>
      <c r="X169">
        <f>IF(ISBLANK(Table1[[#This Row],[nps_category]]),0,1)</f>
        <v>1</v>
      </c>
    </row>
    <row r="170" spans="1:24" x14ac:dyDescent="0.25">
      <c r="A170" t="s">
        <v>691</v>
      </c>
      <c r="B170" t="s">
        <v>692</v>
      </c>
      <c r="C170" s="1">
        <v>46144</v>
      </c>
      <c r="D170" t="s">
        <v>22</v>
      </c>
      <c r="E170" t="b">
        <v>0</v>
      </c>
      <c r="F170">
        <v>1</v>
      </c>
      <c r="G170" s="2">
        <v>0.31666666666666665</v>
      </c>
      <c r="H170" t="s">
        <v>693</v>
      </c>
      <c r="I170" t="s">
        <v>693</v>
      </c>
      <c r="J170" t="s">
        <v>22</v>
      </c>
      <c r="K170" t="b">
        <v>0</v>
      </c>
      <c r="L170" t="b">
        <v>0</v>
      </c>
      <c r="M170">
        <v>6.1744666666666603</v>
      </c>
      <c r="N170">
        <v>5</v>
      </c>
      <c r="O170" t="s">
        <v>694</v>
      </c>
      <c r="P170">
        <v>0.23669999999999999</v>
      </c>
      <c r="Q170">
        <f>_xlfn.XLOOKUP(Table1[[#This Row],[session_id]],[1]chats_with_feedback!$A:$A,[1]chats_with_feedback!$F:$F)</f>
        <v>2</v>
      </c>
      <c r="R170">
        <f>_xlfn.XLOOKUP(Table1[[#This Row],[session_id]],[1]chats_with_feedback!$A:$A,[1]chats_with_feedback!$G:$G)</f>
        <v>3</v>
      </c>
      <c r="S170">
        <f>_xlfn.XLOOKUP(Table1[[#This Row],[session_id]],[1]chats_with_feedback!$A:$A,[1]chats_with_feedback!$J:$J)</f>
        <v>1</v>
      </c>
      <c r="T170" t="str">
        <f>_xlfn.XLOOKUP(Table1[[#This Row],[csat_score]],Sheet2!A:A,Sheet2!D:D)</f>
        <v>Baja</v>
      </c>
      <c r="U170" t="str">
        <f>_xlfn.XLOOKUP(Table1[[#This Row],[nps_score]],Sheet2!B:B,Sheet2!E:E)</f>
        <v>detractor</v>
      </c>
      <c r="V170" t="str">
        <f>_xlfn.XLOOKUP(Table1[[#This Row],[resolution_numeric]],Sheet2!C:C,Sheet2!F:F)</f>
        <v>no</v>
      </c>
      <c r="W170">
        <f>1</f>
        <v>1</v>
      </c>
      <c r="X170">
        <f>IF(ISBLANK(Table1[[#This Row],[nps_category]]),0,1)</f>
        <v>1</v>
      </c>
    </row>
    <row r="171" spans="1:24" x14ac:dyDescent="0.25">
      <c r="A171" t="s">
        <v>695</v>
      </c>
      <c r="B171" t="s">
        <v>696</v>
      </c>
      <c r="C171" s="1">
        <v>46144</v>
      </c>
      <c r="D171" t="s">
        <v>22</v>
      </c>
      <c r="E171" t="b">
        <v>0</v>
      </c>
      <c r="F171">
        <v>1</v>
      </c>
      <c r="G171" s="2">
        <v>0.94374999999999998</v>
      </c>
      <c r="H171" t="s">
        <v>697</v>
      </c>
      <c r="I171" t="s">
        <v>697</v>
      </c>
      <c r="J171" t="s">
        <v>22</v>
      </c>
      <c r="K171" t="b">
        <v>0</v>
      </c>
      <c r="L171" t="b">
        <v>0</v>
      </c>
      <c r="M171">
        <v>3.5130666666666599</v>
      </c>
      <c r="N171">
        <v>5</v>
      </c>
      <c r="O171" t="s">
        <v>698</v>
      </c>
      <c r="P171">
        <v>0.26900000000000002</v>
      </c>
      <c r="Q171">
        <f>_xlfn.XLOOKUP(Table1[[#This Row],[session_id]],[1]chats_with_feedback!$A:$A,[1]chats_with_feedback!$F:$F)</f>
        <v>2</v>
      </c>
      <c r="R171">
        <f>_xlfn.XLOOKUP(Table1[[#This Row],[session_id]],[1]chats_with_feedback!$A:$A,[1]chats_with_feedback!$G:$G)</f>
        <v>3</v>
      </c>
      <c r="S171">
        <f>_xlfn.XLOOKUP(Table1[[#This Row],[session_id]],[1]chats_with_feedback!$A:$A,[1]chats_with_feedback!$J:$J)</f>
        <v>1</v>
      </c>
      <c r="T171" t="str">
        <f>_xlfn.XLOOKUP(Table1[[#This Row],[csat_score]],Sheet2!A:A,Sheet2!D:D)</f>
        <v>Baja</v>
      </c>
      <c r="U171" t="str">
        <f>_xlfn.XLOOKUP(Table1[[#This Row],[nps_score]],Sheet2!B:B,Sheet2!E:E)</f>
        <v>detractor</v>
      </c>
      <c r="V171" t="str">
        <f>_xlfn.XLOOKUP(Table1[[#This Row],[resolution_numeric]],Sheet2!C:C,Sheet2!F:F)</f>
        <v>no</v>
      </c>
      <c r="W171">
        <f>1</f>
        <v>1</v>
      </c>
      <c r="X171">
        <f>IF(ISBLANK(Table1[[#This Row],[nps_category]]),0,1)</f>
        <v>1</v>
      </c>
    </row>
    <row r="172" spans="1:24" x14ac:dyDescent="0.25">
      <c r="A172" t="s">
        <v>711</v>
      </c>
      <c r="B172" t="s">
        <v>712</v>
      </c>
      <c r="C172" s="1">
        <v>46144</v>
      </c>
      <c r="D172" t="s">
        <v>45</v>
      </c>
      <c r="E172" t="b">
        <v>1</v>
      </c>
      <c r="F172">
        <v>1</v>
      </c>
      <c r="G172" s="2">
        <v>0.48472222222222222</v>
      </c>
      <c r="H172" t="s">
        <v>713</v>
      </c>
      <c r="I172" t="s">
        <v>713</v>
      </c>
      <c r="J172" t="s">
        <v>45</v>
      </c>
      <c r="K172" t="b">
        <v>1</v>
      </c>
      <c r="L172" t="b">
        <v>0</v>
      </c>
      <c r="M172">
        <v>10.830933333333299</v>
      </c>
      <c r="N172">
        <v>5</v>
      </c>
      <c r="O172" t="s">
        <v>714</v>
      </c>
      <c r="P172">
        <v>0.63959999999999995</v>
      </c>
      <c r="Q172">
        <f>_xlfn.XLOOKUP(Table1[[#This Row],[session_id]],[1]chats_with_feedback!$A:$A,[1]chats_with_feedback!$F:$F)</f>
        <v>5</v>
      </c>
      <c r="R172">
        <f>_xlfn.XLOOKUP(Table1[[#This Row],[session_id]],[1]chats_with_feedback!$A:$A,[1]chats_with_feedback!$G:$G)</f>
        <v>10</v>
      </c>
      <c r="S172">
        <f>_xlfn.XLOOKUP(Table1[[#This Row],[session_id]],[1]chats_with_feedback!$A:$A,[1]chats_with_feedback!$J:$J)</f>
        <v>3</v>
      </c>
      <c r="T172" t="str">
        <f>_xlfn.XLOOKUP(Table1[[#This Row],[csat_score]],Sheet2!A:A,Sheet2!D:D)</f>
        <v>Alta</v>
      </c>
      <c r="U172" t="str">
        <f>_xlfn.XLOOKUP(Table1[[#This Row],[nps_score]],Sheet2!B:B,Sheet2!E:E)</f>
        <v>promoter</v>
      </c>
      <c r="V172" t="str">
        <f>_xlfn.XLOOKUP(Table1[[#This Row],[resolution_numeric]],Sheet2!C:C,Sheet2!F:F)</f>
        <v>yes</v>
      </c>
      <c r="W172">
        <f>1</f>
        <v>1</v>
      </c>
      <c r="X172">
        <f>IF(ISBLANK(Table1[[#This Row],[nps_category]]),0,1)</f>
        <v>1</v>
      </c>
    </row>
    <row r="173" spans="1:24" x14ac:dyDescent="0.25">
      <c r="A173" t="s">
        <v>715</v>
      </c>
      <c r="B173" t="s">
        <v>716</v>
      </c>
      <c r="C173" s="1">
        <v>46144</v>
      </c>
      <c r="D173" t="s">
        <v>22</v>
      </c>
      <c r="E173" t="b">
        <v>0</v>
      </c>
      <c r="F173">
        <v>1</v>
      </c>
      <c r="G173" s="2">
        <v>0.73541666666666672</v>
      </c>
      <c r="H173" t="s">
        <v>717</v>
      </c>
      <c r="I173" t="s">
        <v>717</v>
      </c>
      <c r="J173" t="s">
        <v>22</v>
      </c>
      <c r="K173" t="b">
        <v>0</v>
      </c>
      <c r="L173" t="b">
        <v>0</v>
      </c>
      <c r="M173">
        <v>3.6380833333333298</v>
      </c>
      <c r="N173">
        <v>5</v>
      </c>
      <c r="O173" t="s">
        <v>95</v>
      </c>
      <c r="P173">
        <v>0.81369999999999998</v>
      </c>
      <c r="Q173">
        <f>_xlfn.XLOOKUP(Table1[[#This Row],[session_id]],[1]chats_with_feedback!$A:$A,[1]chats_with_feedback!$F:$F)</f>
        <v>5</v>
      </c>
      <c r="R173">
        <f>_xlfn.XLOOKUP(Table1[[#This Row],[session_id]],[1]chats_with_feedback!$A:$A,[1]chats_with_feedback!$G:$G)</f>
        <v>10</v>
      </c>
      <c r="S173">
        <f>_xlfn.XLOOKUP(Table1[[#This Row],[session_id]],[1]chats_with_feedback!$A:$A,[1]chats_with_feedback!$J:$J)</f>
        <v>3</v>
      </c>
      <c r="T173" t="str">
        <f>_xlfn.XLOOKUP(Table1[[#This Row],[csat_score]],Sheet2!A:A,Sheet2!D:D)</f>
        <v>Alta</v>
      </c>
      <c r="U173" t="str">
        <f>_xlfn.XLOOKUP(Table1[[#This Row],[nps_score]],Sheet2!B:B,Sheet2!E:E)</f>
        <v>promoter</v>
      </c>
      <c r="V173" t="str">
        <f>_xlfn.XLOOKUP(Table1[[#This Row],[resolution_numeric]],Sheet2!C:C,Sheet2!F:F)</f>
        <v>yes</v>
      </c>
      <c r="W173">
        <f>1</f>
        <v>1</v>
      </c>
      <c r="X173">
        <f>IF(ISBLANK(Table1[[#This Row],[nps_category]]),0,1)</f>
        <v>1</v>
      </c>
    </row>
    <row r="174" spans="1:24" x14ac:dyDescent="0.25">
      <c r="A174" t="s">
        <v>718</v>
      </c>
      <c r="B174" t="s">
        <v>719</v>
      </c>
      <c r="C174" s="1">
        <v>46144</v>
      </c>
      <c r="D174" t="s">
        <v>45</v>
      </c>
      <c r="E174" t="b">
        <v>1</v>
      </c>
      <c r="F174">
        <v>1</v>
      </c>
      <c r="G174" s="2">
        <v>0.36805555555555558</v>
      </c>
      <c r="H174" t="s">
        <v>720</v>
      </c>
      <c r="I174" t="s">
        <v>720</v>
      </c>
      <c r="J174" t="s">
        <v>45</v>
      </c>
      <c r="K174" t="b">
        <v>1</v>
      </c>
      <c r="L174" t="b">
        <v>0</v>
      </c>
      <c r="M174">
        <v>5.3941666666666599</v>
      </c>
      <c r="N174">
        <v>5</v>
      </c>
      <c r="O174" t="s">
        <v>636</v>
      </c>
      <c r="P174">
        <v>0.32169999999999999</v>
      </c>
      <c r="Q174">
        <f>_xlfn.XLOOKUP(Table1[[#This Row],[session_id]],[1]chats_with_feedback!$A:$A,[1]chats_with_feedback!$F:$F)</f>
        <v>3</v>
      </c>
      <c r="R174">
        <f>_xlfn.XLOOKUP(Table1[[#This Row],[session_id]],[1]chats_with_feedback!$A:$A,[1]chats_with_feedback!$G:$G)</f>
        <v>7</v>
      </c>
      <c r="S174">
        <f>_xlfn.XLOOKUP(Table1[[#This Row],[session_id]],[1]chats_with_feedback!$A:$A,[1]chats_with_feedback!$J:$J)</f>
        <v>2</v>
      </c>
      <c r="T174" t="str">
        <f>_xlfn.XLOOKUP(Table1[[#This Row],[csat_score]],Sheet2!A:A,Sheet2!D:D)</f>
        <v>Media</v>
      </c>
      <c r="U174" t="str">
        <f>_xlfn.XLOOKUP(Table1[[#This Row],[nps_score]],Sheet2!B:B,Sheet2!E:E)</f>
        <v>passive</v>
      </c>
      <c r="V174" t="str">
        <f>_xlfn.XLOOKUP(Table1[[#This Row],[resolution_numeric]],Sheet2!C:C,Sheet2!F:F)</f>
        <v>partial</v>
      </c>
      <c r="W174">
        <f>1</f>
        <v>1</v>
      </c>
      <c r="X174">
        <f>IF(ISBLANK(Table1[[#This Row],[nps_category]]),0,1)</f>
        <v>1</v>
      </c>
    </row>
    <row r="175" spans="1:24" x14ac:dyDescent="0.25">
      <c r="A175" t="s">
        <v>728</v>
      </c>
      <c r="B175" t="s">
        <v>729</v>
      </c>
      <c r="C175" s="1">
        <v>46144</v>
      </c>
      <c r="D175" t="s">
        <v>45</v>
      </c>
      <c r="E175" t="b">
        <v>1</v>
      </c>
      <c r="F175">
        <v>1</v>
      </c>
      <c r="G175" s="2">
        <v>0.28888888888888886</v>
      </c>
      <c r="H175" t="s">
        <v>730</v>
      </c>
      <c r="I175" t="s">
        <v>730</v>
      </c>
      <c r="J175" t="s">
        <v>45</v>
      </c>
      <c r="K175" t="b">
        <v>1</v>
      </c>
      <c r="L175" t="b">
        <v>0</v>
      </c>
      <c r="M175">
        <v>3.7285666666666599</v>
      </c>
      <c r="N175">
        <v>5</v>
      </c>
      <c r="O175" t="s">
        <v>173</v>
      </c>
      <c r="P175">
        <v>0.2601</v>
      </c>
      <c r="Q175">
        <f>_xlfn.XLOOKUP(Table1[[#This Row],[session_id]],[1]chats_with_feedback!$A:$A,[1]chats_with_feedback!$F:$F)</f>
        <v>2</v>
      </c>
      <c r="R175">
        <f>_xlfn.XLOOKUP(Table1[[#This Row],[session_id]],[1]chats_with_feedback!$A:$A,[1]chats_with_feedback!$G:$G)</f>
        <v>3</v>
      </c>
      <c r="S175">
        <f>_xlfn.XLOOKUP(Table1[[#This Row],[session_id]],[1]chats_with_feedback!$A:$A,[1]chats_with_feedback!$J:$J)</f>
        <v>1</v>
      </c>
      <c r="T175" t="str">
        <f>_xlfn.XLOOKUP(Table1[[#This Row],[csat_score]],Sheet2!A:A,Sheet2!D:D)</f>
        <v>Baja</v>
      </c>
      <c r="U175" t="str">
        <f>_xlfn.XLOOKUP(Table1[[#This Row],[nps_score]],Sheet2!B:B,Sheet2!E:E)</f>
        <v>detractor</v>
      </c>
      <c r="V175" t="str">
        <f>_xlfn.XLOOKUP(Table1[[#This Row],[resolution_numeric]],Sheet2!C:C,Sheet2!F:F)</f>
        <v>no</v>
      </c>
      <c r="W175">
        <f>1</f>
        <v>1</v>
      </c>
      <c r="X175">
        <f>IF(ISBLANK(Table1[[#This Row],[nps_category]]),0,1)</f>
        <v>1</v>
      </c>
    </row>
    <row r="176" spans="1:24" x14ac:dyDescent="0.25">
      <c r="A176" t="s">
        <v>731</v>
      </c>
      <c r="B176" t="s">
        <v>732</v>
      </c>
      <c r="C176" s="1">
        <v>46144</v>
      </c>
      <c r="D176" t="s">
        <v>22</v>
      </c>
      <c r="E176" t="b">
        <v>0</v>
      </c>
      <c r="F176">
        <v>1</v>
      </c>
      <c r="G176" s="2">
        <v>0.41249999999999998</v>
      </c>
      <c r="H176" t="s">
        <v>733</v>
      </c>
      <c r="I176" t="s">
        <v>733</v>
      </c>
      <c r="J176" t="s">
        <v>22</v>
      </c>
      <c r="K176" t="b">
        <v>0</v>
      </c>
      <c r="L176" t="b">
        <v>0</v>
      </c>
      <c r="M176">
        <v>4.9782000000000002</v>
      </c>
      <c r="N176">
        <v>5</v>
      </c>
      <c r="O176" t="s">
        <v>24</v>
      </c>
      <c r="P176">
        <v>0.23280000000000001</v>
      </c>
      <c r="Q176">
        <f>_xlfn.XLOOKUP(Table1[[#This Row],[session_id]],[1]chats_with_feedback!$A:$A,[1]chats_with_feedback!$F:$F)</f>
        <v>2</v>
      </c>
      <c r="R176">
        <f>_xlfn.XLOOKUP(Table1[[#This Row],[session_id]],[1]chats_with_feedback!$A:$A,[1]chats_with_feedback!$G:$G)</f>
        <v>3</v>
      </c>
      <c r="S176">
        <f>_xlfn.XLOOKUP(Table1[[#This Row],[session_id]],[1]chats_with_feedback!$A:$A,[1]chats_with_feedback!$J:$J)</f>
        <v>1</v>
      </c>
      <c r="T176" t="str">
        <f>_xlfn.XLOOKUP(Table1[[#This Row],[csat_score]],Sheet2!A:A,Sheet2!D:D)</f>
        <v>Baja</v>
      </c>
      <c r="U176" t="str">
        <f>_xlfn.XLOOKUP(Table1[[#This Row],[nps_score]],Sheet2!B:B,Sheet2!E:E)</f>
        <v>detractor</v>
      </c>
      <c r="V176" t="str">
        <f>_xlfn.XLOOKUP(Table1[[#This Row],[resolution_numeric]],Sheet2!C:C,Sheet2!F:F)</f>
        <v>no</v>
      </c>
      <c r="W176">
        <f>1</f>
        <v>1</v>
      </c>
      <c r="X176">
        <f>IF(ISBLANK(Table1[[#This Row],[nps_category]]),0,1)</f>
        <v>1</v>
      </c>
    </row>
    <row r="177" spans="1:24" x14ac:dyDescent="0.25">
      <c r="A177" t="s">
        <v>734</v>
      </c>
      <c r="B177" t="s">
        <v>735</v>
      </c>
      <c r="C177" s="1">
        <v>46144</v>
      </c>
      <c r="D177" t="s">
        <v>22</v>
      </c>
      <c r="E177" t="b">
        <v>0</v>
      </c>
      <c r="F177">
        <v>1</v>
      </c>
      <c r="G177" s="2">
        <v>0.76666666666666672</v>
      </c>
      <c r="H177" t="s">
        <v>736</v>
      </c>
      <c r="I177" t="s">
        <v>736</v>
      </c>
      <c r="J177" t="s">
        <v>22</v>
      </c>
      <c r="K177" t="b">
        <v>0</v>
      </c>
      <c r="L177" t="b">
        <v>0</v>
      </c>
      <c r="M177">
        <v>8.4216166666666599</v>
      </c>
      <c r="N177">
        <v>5</v>
      </c>
      <c r="O177" t="s">
        <v>636</v>
      </c>
      <c r="P177">
        <v>0.37580000000000002</v>
      </c>
      <c r="Q177">
        <f>_xlfn.XLOOKUP(Table1[[#This Row],[session_id]],[1]chats_with_feedback!$A:$A,[1]chats_with_feedback!$F:$F)</f>
        <v>3</v>
      </c>
      <c r="R177">
        <f>_xlfn.XLOOKUP(Table1[[#This Row],[session_id]],[1]chats_with_feedback!$A:$A,[1]chats_with_feedback!$G:$G)</f>
        <v>7</v>
      </c>
      <c r="S177">
        <f>_xlfn.XLOOKUP(Table1[[#This Row],[session_id]],[1]chats_with_feedback!$A:$A,[1]chats_with_feedback!$J:$J)</f>
        <v>2</v>
      </c>
      <c r="T177" t="str">
        <f>_xlfn.XLOOKUP(Table1[[#This Row],[csat_score]],Sheet2!A:A,Sheet2!D:D)</f>
        <v>Media</v>
      </c>
      <c r="U177" t="str">
        <f>_xlfn.XLOOKUP(Table1[[#This Row],[nps_score]],Sheet2!B:B,Sheet2!E:E)</f>
        <v>passive</v>
      </c>
      <c r="V177" t="str">
        <f>_xlfn.XLOOKUP(Table1[[#This Row],[resolution_numeric]],Sheet2!C:C,Sheet2!F:F)</f>
        <v>partial</v>
      </c>
      <c r="W177">
        <f>1</f>
        <v>1</v>
      </c>
      <c r="X177">
        <f>IF(ISBLANK(Table1[[#This Row],[nps_category]]),0,1)</f>
        <v>1</v>
      </c>
    </row>
    <row r="178" spans="1:24" x14ac:dyDescent="0.25">
      <c r="A178" t="s">
        <v>737</v>
      </c>
      <c r="B178" t="s">
        <v>738</v>
      </c>
      <c r="C178" s="1">
        <v>46144</v>
      </c>
      <c r="D178" t="s">
        <v>45</v>
      </c>
      <c r="E178" t="b">
        <v>1</v>
      </c>
      <c r="F178">
        <v>1</v>
      </c>
      <c r="G178" s="2">
        <v>0.89027777777777772</v>
      </c>
      <c r="H178" t="s">
        <v>739</v>
      </c>
      <c r="I178" t="s">
        <v>739</v>
      </c>
      <c r="J178" t="s">
        <v>45</v>
      </c>
      <c r="K178" t="b">
        <v>1</v>
      </c>
      <c r="L178" t="b">
        <v>0</v>
      </c>
      <c r="M178">
        <v>6.2620666666666605</v>
      </c>
      <c r="N178">
        <v>5</v>
      </c>
      <c r="O178" t="s">
        <v>95</v>
      </c>
      <c r="P178">
        <v>0.81369999999999998</v>
      </c>
      <c r="Q178">
        <f>_xlfn.XLOOKUP(Table1[[#This Row],[session_id]],[1]chats_with_feedback!$A:$A,[1]chats_with_feedback!$F:$F)</f>
        <v>5</v>
      </c>
      <c r="R178">
        <f>_xlfn.XLOOKUP(Table1[[#This Row],[session_id]],[1]chats_with_feedback!$A:$A,[1]chats_with_feedback!$G:$G)</f>
        <v>10</v>
      </c>
      <c r="S178">
        <f>_xlfn.XLOOKUP(Table1[[#This Row],[session_id]],[1]chats_with_feedback!$A:$A,[1]chats_with_feedback!$J:$J)</f>
        <v>3</v>
      </c>
      <c r="T178" t="str">
        <f>_xlfn.XLOOKUP(Table1[[#This Row],[csat_score]],Sheet2!A:A,Sheet2!D:D)</f>
        <v>Alta</v>
      </c>
      <c r="U178" t="str">
        <f>_xlfn.XLOOKUP(Table1[[#This Row],[nps_score]],Sheet2!B:B,Sheet2!E:E)</f>
        <v>promoter</v>
      </c>
      <c r="V178" t="str">
        <f>_xlfn.XLOOKUP(Table1[[#This Row],[resolution_numeric]],Sheet2!C:C,Sheet2!F:F)</f>
        <v>yes</v>
      </c>
      <c r="W178">
        <f>1</f>
        <v>1</v>
      </c>
      <c r="X178">
        <f>IF(ISBLANK(Table1[[#This Row],[nps_category]]),0,1)</f>
        <v>1</v>
      </c>
    </row>
    <row r="179" spans="1:24" x14ac:dyDescent="0.25">
      <c r="A179" t="s">
        <v>740</v>
      </c>
      <c r="B179" t="s">
        <v>741</v>
      </c>
      <c r="C179" s="1">
        <v>46144</v>
      </c>
      <c r="D179" t="s">
        <v>45</v>
      </c>
      <c r="E179" t="b">
        <v>1</v>
      </c>
      <c r="F179">
        <v>1</v>
      </c>
      <c r="G179" s="2">
        <v>0.27638888888888891</v>
      </c>
      <c r="H179" t="s">
        <v>742</v>
      </c>
      <c r="I179" t="s">
        <v>742</v>
      </c>
      <c r="J179" t="s">
        <v>45</v>
      </c>
      <c r="K179" t="b">
        <v>1</v>
      </c>
      <c r="L179" t="b">
        <v>0</v>
      </c>
      <c r="M179">
        <v>3.1513833333333299</v>
      </c>
      <c r="N179">
        <v>5</v>
      </c>
      <c r="O179" t="s">
        <v>32</v>
      </c>
      <c r="P179">
        <v>0.27900000000000003</v>
      </c>
      <c r="Q179">
        <f>_xlfn.XLOOKUP(Table1[[#This Row],[session_id]],[1]chats_with_feedback!$A:$A,[1]chats_with_feedback!$F:$F)</f>
        <v>2</v>
      </c>
      <c r="R179">
        <f>_xlfn.XLOOKUP(Table1[[#This Row],[session_id]],[1]chats_with_feedback!$A:$A,[1]chats_with_feedback!$G:$G)</f>
        <v>3</v>
      </c>
      <c r="S179">
        <f>_xlfn.XLOOKUP(Table1[[#This Row],[session_id]],[1]chats_with_feedback!$A:$A,[1]chats_with_feedback!$J:$J)</f>
        <v>1</v>
      </c>
      <c r="T179" t="str">
        <f>_xlfn.XLOOKUP(Table1[[#This Row],[csat_score]],Sheet2!A:A,Sheet2!D:D)</f>
        <v>Baja</v>
      </c>
      <c r="U179" t="str">
        <f>_xlfn.XLOOKUP(Table1[[#This Row],[nps_score]],Sheet2!B:B,Sheet2!E:E)</f>
        <v>detractor</v>
      </c>
      <c r="V179" t="str">
        <f>_xlfn.XLOOKUP(Table1[[#This Row],[resolution_numeric]],Sheet2!C:C,Sheet2!F:F)</f>
        <v>no</v>
      </c>
      <c r="W179">
        <f>1</f>
        <v>1</v>
      </c>
      <c r="X179">
        <f>IF(ISBLANK(Table1[[#This Row],[nps_category]]),0,1)</f>
        <v>1</v>
      </c>
    </row>
    <row r="180" spans="1:24" x14ac:dyDescent="0.25">
      <c r="A180" t="s">
        <v>749</v>
      </c>
      <c r="B180" t="s">
        <v>750</v>
      </c>
      <c r="C180" s="1">
        <v>46144</v>
      </c>
      <c r="D180" t="s">
        <v>22</v>
      </c>
      <c r="E180" t="b">
        <v>0</v>
      </c>
      <c r="F180">
        <v>1</v>
      </c>
      <c r="G180" s="2">
        <v>0.89652777777777781</v>
      </c>
      <c r="H180" t="s">
        <v>751</v>
      </c>
      <c r="I180" t="s">
        <v>751</v>
      </c>
      <c r="J180" t="s">
        <v>22</v>
      </c>
      <c r="K180" t="b">
        <v>0</v>
      </c>
      <c r="L180" t="b">
        <v>0</v>
      </c>
      <c r="M180">
        <v>6.1921499999999901</v>
      </c>
      <c r="N180">
        <v>5</v>
      </c>
      <c r="O180" t="s">
        <v>752</v>
      </c>
      <c r="P180">
        <v>0.27889999999999998</v>
      </c>
      <c r="Q180">
        <f>_xlfn.XLOOKUP(Table1[[#This Row],[session_id]],[1]chats_with_feedback!$A:$A,[1]chats_with_feedback!$F:$F)</f>
        <v>2</v>
      </c>
      <c r="R180">
        <f>_xlfn.XLOOKUP(Table1[[#This Row],[session_id]],[1]chats_with_feedback!$A:$A,[1]chats_with_feedback!$G:$G)</f>
        <v>3</v>
      </c>
      <c r="S180">
        <f>_xlfn.XLOOKUP(Table1[[#This Row],[session_id]],[1]chats_with_feedback!$A:$A,[1]chats_with_feedback!$J:$J)</f>
        <v>1</v>
      </c>
      <c r="T180" t="str">
        <f>_xlfn.XLOOKUP(Table1[[#This Row],[csat_score]],Sheet2!A:A,Sheet2!D:D)</f>
        <v>Baja</v>
      </c>
      <c r="U180" t="str">
        <f>_xlfn.XLOOKUP(Table1[[#This Row],[nps_score]],Sheet2!B:B,Sheet2!E:E)</f>
        <v>detractor</v>
      </c>
      <c r="V180" t="str">
        <f>_xlfn.XLOOKUP(Table1[[#This Row],[resolution_numeric]],Sheet2!C:C,Sheet2!F:F)</f>
        <v>no</v>
      </c>
      <c r="W180">
        <f>1</f>
        <v>1</v>
      </c>
      <c r="X180">
        <f>IF(ISBLANK(Table1[[#This Row],[nps_category]]),0,1)</f>
        <v>1</v>
      </c>
    </row>
    <row r="181" spans="1:24" x14ac:dyDescent="0.25">
      <c r="A181" t="s">
        <v>756</v>
      </c>
      <c r="B181" t="s">
        <v>757</v>
      </c>
      <c r="C181" s="1">
        <v>46144</v>
      </c>
      <c r="D181" t="s">
        <v>45</v>
      </c>
      <c r="E181" t="b">
        <v>1</v>
      </c>
      <c r="F181">
        <v>1</v>
      </c>
      <c r="G181" s="2">
        <v>0.7729166666666667</v>
      </c>
      <c r="H181" t="s">
        <v>758</v>
      </c>
      <c r="I181" t="s">
        <v>758</v>
      </c>
      <c r="J181" t="s">
        <v>45</v>
      </c>
      <c r="K181" t="b">
        <v>1</v>
      </c>
      <c r="L181" t="b">
        <v>0</v>
      </c>
      <c r="M181">
        <v>6.0794999999999995</v>
      </c>
      <c r="N181">
        <v>5</v>
      </c>
      <c r="O181" t="s">
        <v>321</v>
      </c>
      <c r="P181">
        <v>0.72199999999999998</v>
      </c>
      <c r="Q181">
        <f>_xlfn.XLOOKUP(Table1[[#This Row],[session_id]],[1]chats_with_feedback!$A:$A,[1]chats_with_feedback!$F:$F)</f>
        <v>5</v>
      </c>
      <c r="R181">
        <f>_xlfn.XLOOKUP(Table1[[#This Row],[session_id]],[1]chats_with_feedback!$A:$A,[1]chats_with_feedback!$G:$G)</f>
        <v>10</v>
      </c>
      <c r="S181">
        <f>_xlfn.XLOOKUP(Table1[[#This Row],[session_id]],[1]chats_with_feedback!$A:$A,[1]chats_with_feedback!$J:$J)</f>
        <v>3</v>
      </c>
      <c r="T181" t="str">
        <f>_xlfn.XLOOKUP(Table1[[#This Row],[csat_score]],Sheet2!A:A,Sheet2!D:D)</f>
        <v>Alta</v>
      </c>
      <c r="U181" t="str">
        <f>_xlfn.XLOOKUP(Table1[[#This Row],[nps_score]],Sheet2!B:B,Sheet2!E:E)</f>
        <v>promoter</v>
      </c>
      <c r="V181" t="str">
        <f>_xlfn.XLOOKUP(Table1[[#This Row],[resolution_numeric]],Sheet2!C:C,Sheet2!F:F)</f>
        <v>yes</v>
      </c>
      <c r="W181">
        <f>1</f>
        <v>1</v>
      </c>
      <c r="X181">
        <f>IF(ISBLANK(Table1[[#This Row],[nps_category]]),0,1)</f>
        <v>1</v>
      </c>
    </row>
    <row r="182" spans="1:24" x14ac:dyDescent="0.25">
      <c r="A182" t="s">
        <v>759</v>
      </c>
      <c r="B182" t="s">
        <v>760</v>
      </c>
      <c r="C182" s="1">
        <v>46144</v>
      </c>
      <c r="D182" t="s">
        <v>22</v>
      </c>
      <c r="E182" t="b">
        <v>0</v>
      </c>
      <c r="F182">
        <v>1</v>
      </c>
      <c r="G182" s="2">
        <v>0.30486111111111114</v>
      </c>
      <c r="H182" t="s">
        <v>761</v>
      </c>
      <c r="I182" t="s">
        <v>761</v>
      </c>
      <c r="J182" t="s">
        <v>22</v>
      </c>
      <c r="K182" t="b">
        <v>0</v>
      </c>
      <c r="L182" t="b">
        <v>0</v>
      </c>
      <c r="M182">
        <v>4.0581333333333296</v>
      </c>
      <c r="N182">
        <v>5</v>
      </c>
      <c r="O182" t="s">
        <v>32</v>
      </c>
      <c r="P182">
        <v>0.26929999999999998</v>
      </c>
      <c r="Q182">
        <f>_xlfn.XLOOKUP(Table1[[#This Row],[session_id]],[1]chats_with_feedback!$A:$A,[1]chats_with_feedback!$F:$F)</f>
        <v>2</v>
      </c>
      <c r="R182">
        <f>_xlfn.XLOOKUP(Table1[[#This Row],[session_id]],[1]chats_with_feedback!$A:$A,[1]chats_with_feedback!$G:$G)</f>
        <v>3</v>
      </c>
      <c r="S182">
        <f>_xlfn.XLOOKUP(Table1[[#This Row],[session_id]],[1]chats_with_feedback!$A:$A,[1]chats_with_feedback!$J:$J)</f>
        <v>1</v>
      </c>
      <c r="T182" t="str">
        <f>_xlfn.XLOOKUP(Table1[[#This Row],[csat_score]],Sheet2!A:A,Sheet2!D:D)</f>
        <v>Baja</v>
      </c>
      <c r="U182" t="str">
        <f>_xlfn.XLOOKUP(Table1[[#This Row],[nps_score]],Sheet2!B:B,Sheet2!E:E)</f>
        <v>detractor</v>
      </c>
      <c r="V182" t="str">
        <f>_xlfn.XLOOKUP(Table1[[#This Row],[resolution_numeric]],Sheet2!C:C,Sheet2!F:F)</f>
        <v>no</v>
      </c>
      <c r="W182">
        <f>1</f>
        <v>1</v>
      </c>
      <c r="X182">
        <f>IF(ISBLANK(Table1[[#This Row],[nps_category]]),0,1)</f>
        <v>1</v>
      </c>
    </row>
    <row r="183" spans="1:24" x14ac:dyDescent="0.25">
      <c r="A183" t="s">
        <v>768</v>
      </c>
      <c r="B183" t="s">
        <v>769</v>
      </c>
      <c r="C183" s="1">
        <v>46144</v>
      </c>
      <c r="D183" t="s">
        <v>22</v>
      </c>
      <c r="E183" t="b">
        <v>0</v>
      </c>
      <c r="F183">
        <v>1</v>
      </c>
      <c r="G183" s="2">
        <v>0.5395833333333333</v>
      </c>
      <c r="H183" t="s">
        <v>770</v>
      </c>
      <c r="I183" t="s">
        <v>770</v>
      </c>
      <c r="J183" t="s">
        <v>22</v>
      </c>
      <c r="K183" t="b">
        <v>0</v>
      </c>
      <c r="L183" t="b">
        <v>0</v>
      </c>
      <c r="M183">
        <v>4.5165833333333296</v>
      </c>
      <c r="N183">
        <v>5</v>
      </c>
      <c r="O183" t="s">
        <v>771</v>
      </c>
      <c r="P183">
        <v>0.38229999999999997</v>
      </c>
      <c r="Q183">
        <f>_xlfn.XLOOKUP(Table1[[#This Row],[session_id]],[1]chats_with_feedback!$A:$A,[1]chats_with_feedback!$F:$F)</f>
        <v>3</v>
      </c>
      <c r="R183">
        <f>_xlfn.XLOOKUP(Table1[[#This Row],[session_id]],[1]chats_with_feedback!$A:$A,[1]chats_with_feedback!$G:$G)</f>
        <v>7</v>
      </c>
      <c r="S183">
        <f>_xlfn.XLOOKUP(Table1[[#This Row],[session_id]],[1]chats_with_feedback!$A:$A,[1]chats_with_feedback!$J:$J)</f>
        <v>2</v>
      </c>
      <c r="T183" t="str">
        <f>_xlfn.XLOOKUP(Table1[[#This Row],[csat_score]],Sheet2!A:A,Sheet2!D:D)</f>
        <v>Media</v>
      </c>
      <c r="U183" t="str">
        <f>_xlfn.XLOOKUP(Table1[[#This Row],[nps_score]],Sheet2!B:B,Sheet2!E:E)</f>
        <v>passive</v>
      </c>
      <c r="V183" t="str">
        <f>_xlfn.XLOOKUP(Table1[[#This Row],[resolution_numeric]],Sheet2!C:C,Sheet2!F:F)</f>
        <v>partial</v>
      </c>
      <c r="W183">
        <f>1</f>
        <v>1</v>
      </c>
      <c r="X183">
        <f>IF(ISBLANK(Table1[[#This Row],[nps_category]]),0,1)</f>
        <v>1</v>
      </c>
    </row>
    <row r="184" spans="1:24" x14ac:dyDescent="0.25">
      <c r="A184" t="s">
        <v>776</v>
      </c>
      <c r="B184" t="s">
        <v>777</v>
      </c>
      <c r="C184" s="1">
        <v>46144</v>
      </c>
      <c r="D184" t="s">
        <v>22</v>
      </c>
      <c r="E184" t="b">
        <v>0</v>
      </c>
      <c r="F184">
        <v>1</v>
      </c>
      <c r="G184" s="2">
        <v>0.38611111111111113</v>
      </c>
      <c r="H184" t="s">
        <v>778</v>
      </c>
      <c r="I184" t="s">
        <v>778</v>
      </c>
      <c r="J184" t="s">
        <v>22</v>
      </c>
      <c r="K184" t="b">
        <v>0</v>
      </c>
      <c r="L184" t="b">
        <v>0</v>
      </c>
      <c r="M184">
        <v>5.6363000000000003</v>
      </c>
      <c r="N184">
        <v>5</v>
      </c>
      <c r="O184" t="s">
        <v>779</v>
      </c>
      <c r="P184">
        <v>0.25700000000000001</v>
      </c>
      <c r="Q184">
        <f>_xlfn.XLOOKUP(Table1[[#This Row],[session_id]],[1]chats_with_feedback!$A:$A,[1]chats_with_feedback!$F:$F)</f>
        <v>2</v>
      </c>
      <c r="R184">
        <f>_xlfn.XLOOKUP(Table1[[#This Row],[session_id]],[1]chats_with_feedback!$A:$A,[1]chats_with_feedback!$G:$G)</f>
        <v>3</v>
      </c>
      <c r="S184">
        <f>_xlfn.XLOOKUP(Table1[[#This Row],[session_id]],[1]chats_with_feedback!$A:$A,[1]chats_with_feedback!$J:$J)</f>
        <v>1</v>
      </c>
      <c r="T184" t="str">
        <f>_xlfn.XLOOKUP(Table1[[#This Row],[csat_score]],Sheet2!A:A,Sheet2!D:D)</f>
        <v>Baja</v>
      </c>
      <c r="U184" t="str">
        <f>_xlfn.XLOOKUP(Table1[[#This Row],[nps_score]],Sheet2!B:B,Sheet2!E:E)</f>
        <v>detractor</v>
      </c>
      <c r="V184" t="str">
        <f>_xlfn.XLOOKUP(Table1[[#This Row],[resolution_numeric]],Sheet2!C:C,Sheet2!F:F)</f>
        <v>no</v>
      </c>
      <c r="W184">
        <f>1</f>
        <v>1</v>
      </c>
      <c r="X184">
        <f>IF(ISBLANK(Table1[[#This Row],[nps_category]]),0,1)</f>
        <v>1</v>
      </c>
    </row>
    <row r="185" spans="1:24" x14ac:dyDescent="0.25">
      <c r="A185" t="s">
        <v>780</v>
      </c>
      <c r="B185" t="s">
        <v>781</v>
      </c>
      <c r="C185" s="1">
        <v>46144</v>
      </c>
      <c r="D185" t="s">
        <v>22</v>
      </c>
      <c r="E185" t="b">
        <v>0</v>
      </c>
      <c r="F185">
        <v>1</v>
      </c>
      <c r="G185" s="2">
        <v>0.85624999999999996</v>
      </c>
      <c r="H185" t="s">
        <v>782</v>
      </c>
      <c r="I185" t="s">
        <v>782</v>
      </c>
      <c r="J185" t="s">
        <v>22</v>
      </c>
      <c r="K185" t="b">
        <v>0</v>
      </c>
      <c r="L185" t="b">
        <v>0</v>
      </c>
      <c r="M185">
        <v>7.4619499999999892</v>
      </c>
      <c r="N185">
        <v>5</v>
      </c>
      <c r="O185" t="s">
        <v>783</v>
      </c>
      <c r="P185">
        <v>0.32069999999999999</v>
      </c>
      <c r="Q185">
        <f>_xlfn.XLOOKUP(Table1[[#This Row],[session_id]],[1]chats_with_feedback!$A:$A,[1]chats_with_feedback!$F:$F)</f>
        <v>3</v>
      </c>
      <c r="R185">
        <f>_xlfn.XLOOKUP(Table1[[#This Row],[session_id]],[1]chats_with_feedback!$A:$A,[1]chats_with_feedback!$G:$G)</f>
        <v>7</v>
      </c>
      <c r="S185">
        <f>_xlfn.XLOOKUP(Table1[[#This Row],[session_id]],[1]chats_with_feedback!$A:$A,[1]chats_with_feedback!$J:$J)</f>
        <v>2</v>
      </c>
      <c r="T185" t="str">
        <f>_xlfn.XLOOKUP(Table1[[#This Row],[csat_score]],Sheet2!A:A,Sheet2!D:D)</f>
        <v>Media</v>
      </c>
      <c r="U185" t="str">
        <f>_xlfn.XLOOKUP(Table1[[#This Row],[nps_score]],Sheet2!B:B,Sheet2!E:E)</f>
        <v>passive</v>
      </c>
      <c r="V185" t="str">
        <f>_xlfn.XLOOKUP(Table1[[#This Row],[resolution_numeric]],Sheet2!C:C,Sheet2!F:F)</f>
        <v>partial</v>
      </c>
      <c r="W185">
        <f>1</f>
        <v>1</v>
      </c>
      <c r="X185">
        <f>IF(ISBLANK(Table1[[#This Row],[nps_category]]),0,1)</f>
        <v>1</v>
      </c>
    </row>
    <row r="186" spans="1:24" x14ac:dyDescent="0.25">
      <c r="A186" t="s">
        <v>784</v>
      </c>
      <c r="B186" t="s">
        <v>785</v>
      </c>
      <c r="C186" s="1">
        <v>46144</v>
      </c>
      <c r="D186" t="s">
        <v>45</v>
      </c>
      <c r="E186" t="b">
        <v>1</v>
      </c>
      <c r="F186">
        <v>1</v>
      </c>
      <c r="G186" s="2">
        <v>0.42986111111111114</v>
      </c>
      <c r="H186" t="s">
        <v>786</v>
      </c>
      <c r="I186" t="s">
        <v>786</v>
      </c>
      <c r="J186" t="s">
        <v>45</v>
      </c>
      <c r="K186" t="b">
        <v>1</v>
      </c>
      <c r="L186" t="b">
        <v>0</v>
      </c>
      <c r="M186">
        <v>5.0753500000000003</v>
      </c>
      <c r="N186">
        <v>5</v>
      </c>
      <c r="O186" t="s">
        <v>787</v>
      </c>
      <c r="P186">
        <v>0.22939999999999999</v>
      </c>
      <c r="Q186">
        <f>_xlfn.XLOOKUP(Table1[[#This Row],[session_id]],[1]chats_with_feedback!$A:$A,[1]chats_with_feedback!$F:$F)</f>
        <v>2</v>
      </c>
      <c r="R186">
        <f>_xlfn.XLOOKUP(Table1[[#This Row],[session_id]],[1]chats_with_feedback!$A:$A,[1]chats_with_feedback!$G:$G)</f>
        <v>3</v>
      </c>
      <c r="S186">
        <f>_xlfn.XLOOKUP(Table1[[#This Row],[session_id]],[1]chats_with_feedback!$A:$A,[1]chats_with_feedback!$J:$J)</f>
        <v>1</v>
      </c>
      <c r="T186" t="str">
        <f>_xlfn.XLOOKUP(Table1[[#This Row],[csat_score]],Sheet2!A:A,Sheet2!D:D)</f>
        <v>Baja</v>
      </c>
      <c r="U186" t="str">
        <f>_xlfn.XLOOKUP(Table1[[#This Row],[nps_score]],Sheet2!B:B,Sheet2!E:E)</f>
        <v>detractor</v>
      </c>
      <c r="V186" t="str">
        <f>_xlfn.XLOOKUP(Table1[[#This Row],[resolution_numeric]],Sheet2!C:C,Sheet2!F:F)</f>
        <v>no</v>
      </c>
      <c r="W186">
        <f>1</f>
        <v>1</v>
      </c>
      <c r="X186">
        <f>IF(ISBLANK(Table1[[#This Row],[nps_category]]),0,1)</f>
        <v>1</v>
      </c>
    </row>
    <row r="187" spans="1:24" x14ac:dyDescent="0.25">
      <c r="A187" t="s">
        <v>788</v>
      </c>
      <c r="B187" t="s">
        <v>789</v>
      </c>
      <c r="C187" s="1">
        <v>46144</v>
      </c>
      <c r="D187" t="s">
        <v>45</v>
      </c>
      <c r="E187" t="b">
        <v>1</v>
      </c>
      <c r="F187">
        <v>1</v>
      </c>
      <c r="G187" s="2">
        <v>0.70416666666666672</v>
      </c>
      <c r="H187" t="s">
        <v>790</v>
      </c>
      <c r="I187" t="s">
        <v>790</v>
      </c>
      <c r="J187" t="s">
        <v>45</v>
      </c>
      <c r="K187" t="b">
        <v>1</v>
      </c>
      <c r="L187" t="b">
        <v>0</v>
      </c>
      <c r="M187">
        <v>6.9636500000000003</v>
      </c>
      <c r="N187">
        <v>5</v>
      </c>
      <c r="O187" t="s">
        <v>192</v>
      </c>
      <c r="P187">
        <v>0.1497</v>
      </c>
      <c r="Q187">
        <f>_xlfn.XLOOKUP(Table1[[#This Row],[session_id]],[1]chats_with_feedback!$A:$A,[1]chats_with_feedback!$F:$F)</f>
        <v>2</v>
      </c>
      <c r="R187">
        <f>_xlfn.XLOOKUP(Table1[[#This Row],[session_id]],[1]chats_with_feedback!$A:$A,[1]chats_with_feedback!$G:$G)</f>
        <v>3</v>
      </c>
      <c r="S187">
        <f>_xlfn.XLOOKUP(Table1[[#This Row],[session_id]],[1]chats_with_feedback!$A:$A,[1]chats_with_feedback!$J:$J)</f>
        <v>1</v>
      </c>
      <c r="T187" t="str">
        <f>_xlfn.XLOOKUP(Table1[[#This Row],[csat_score]],Sheet2!A:A,Sheet2!D:D)</f>
        <v>Baja</v>
      </c>
      <c r="U187" t="str">
        <f>_xlfn.XLOOKUP(Table1[[#This Row],[nps_score]],Sheet2!B:B,Sheet2!E:E)</f>
        <v>detractor</v>
      </c>
      <c r="V187" t="str">
        <f>_xlfn.XLOOKUP(Table1[[#This Row],[resolution_numeric]],Sheet2!C:C,Sheet2!F:F)</f>
        <v>no</v>
      </c>
      <c r="W187">
        <f>1</f>
        <v>1</v>
      </c>
      <c r="X187">
        <f>IF(ISBLANK(Table1[[#This Row],[nps_category]]),0,1)</f>
        <v>1</v>
      </c>
    </row>
    <row r="188" spans="1:24" x14ac:dyDescent="0.25">
      <c r="A188" t="s">
        <v>791</v>
      </c>
      <c r="B188" t="s">
        <v>792</v>
      </c>
      <c r="C188" s="1">
        <v>46144</v>
      </c>
      <c r="D188" t="s">
        <v>45</v>
      </c>
      <c r="E188" t="b">
        <v>1</v>
      </c>
      <c r="F188">
        <v>1</v>
      </c>
      <c r="G188" s="2">
        <v>0.87777777777777777</v>
      </c>
      <c r="H188" t="s">
        <v>793</v>
      </c>
      <c r="I188" t="s">
        <v>793</v>
      </c>
      <c r="J188" t="s">
        <v>45</v>
      </c>
      <c r="K188" t="b">
        <v>1</v>
      </c>
      <c r="L188" t="b">
        <v>0</v>
      </c>
      <c r="M188">
        <v>4.8192833333333303</v>
      </c>
      <c r="N188">
        <v>5</v>
      </c>
      <c r="O188" t="s">
        <v>141</v>
      </c>
      <c r="P188">
        <v>0.45729999999999998</v>
      </c>
      <c r="Q188">
        <f>_xlfn.XLOOKUP(Table1[[#This Row],[session_id]],[1]chats_with_feedback!$A:$A,[1]chats_with_feedback!$F:$F)</f>
        <v>5</v>
      </c>
      <c r="R188">
        <f>_xlfn.XLOOKUP(Table1[[#This Row],[session_id]],[1]chats_with_feedback!$A:$A,[1]chats_with_feedback!$G:$G)</f>
        <v>10</v>
      </c>
      <c r="S188">
        <f>_xlfn.XLOOKUP(Table1[[#This Row],[session_id]],[1]chats_with_feedback!$A:$A,[1]chats_with_feedback!$J:$J)</f>
        <v>3</v>
      </c>
      <c r="T188" t="str">
        <f>_xlfn.XLOOKUP(Table1[[#This Row],[csat_score]],Sheet2!A:A,Sheet2!D:D)</f>
        <v>Alta</v>
      </c>
      <c r="U188" t="str">
        <f>_xlfn.XLOOKUP(Table1[[#This Row],[nps_score]],Sheet2!B:B,Sheet2!E:E)</f>
        <v>promoter</v>
      </c>
      <c r="V188" t="str">
        <f>_xlfn.XLOOKUP(Table1[[#This Row],[resolution_numeric]],Sheet2!C:C,Sheet2!F:F)</f>
        <v>yes</v>
      </c>
      <c r="W188">
        <f>1</f>
        <v>1</v>
      </c>
      <c r="X188">
        <f>IF(ISBLANK(Table1[[#This Row],[nps_category]]),0,1)</f>
        <v>1</v>
      </c>
    </row>
    <row r="189" spans="1:24" x14ac:dyDescent="0.25">
      <c r="A189" t="s">
        <v>117</v>
      </c>
      <c r="B189" t="s">
        <v>118</v>
      </c>
      <c r="C189" s="1">
        <v>46144</v>
      </c>
      <c r="D189" t="s">
        <v>22</v>
      </c>
      <c r="E189" t="b">
        <v>0</v>
      </c>
      <c r="F189">
        <v>1</v>
      </c>
      <c r="G189" s="2">
        <v>0.13541666666666666</v>
      </c>
      <c r="H189" t="s">
        <v>119</v>
      </c>
      <c r="I189" t="s">
        <v>119</v>
      </c>
      <c r="J189" t="s">
        <v>22</v>
      </c>
      <c r="K189" t="b">
        <v>0</v>
      </c>
      <c r="L189" t="b">
        <v>0</v>
      </c>
      <c r="M189">
        <v>16.735133333333302</v>
      </c>
      <c r="N189">
        <v>5</v>
      </c>
      <c r="O189" t="s">
        <v>120</v>
      </c>
      <c r="P189">
        <v>0.28199999999999997</v>
      </c>
      <c r="Q189">
        <f>_xlfn.XLOOKUP(Table1[[#This Row],[session_id]],[1]chats_with_feedback!$A:$A,[1]chats_with_feedback!$F:$F)</f>
        <v>2</v>
      </c>
      <c r="R189">
        <f>_xlfn.XLOOKUP(Table1[[#This Row],[session_id]],[1]chats_with_feedback!$A:$A,[1]chats_with_feedback!$G:$G)</f>
        <v>3</v>
      </c>
      <c r="S189">
        <f>_xlfn.XLOOKUP(Table1[[#This Row],[session_id]],[1]chats_with_feedback!$A:$A,[1]chats_with_feedback!$J:$J)</f>
        <v>1</v>
      </c>
      <c r="T189" t="str">
        <f>_xlfn.XLOOKUP(Table1[[#This Row],[csat_score]],Sheet2!A:A,Sheet2!D:D)</f>
        <v>Baja</v>
      </c>
      <c r="U189" t="str">
        <f>_xlfn.XLOOKUP(Table1[[#This Row],[nps_score]],Sheet2!B:B,Sheet2!E:E)</f>
        <v>detractor</v>
      </c>
      <c r="V189" t="str">
        <f>_xlfn.XLOOKUP(Table1[[#This Row],[resolution_numeric]],Sheet2!C:C,Sheet2!F:F)</f>
        <v>no</v>
      </c>
      <c r="W189">
        <f>1</f>
        <v>1</v>
      </c>
      <c r="X189">
        <f>IF(ISBLANK(Table1[[#This Row],[nps_category]]),0,1)</f>
        <v>1</v>
      </c>
    </row>
    <row r="190" spans="1:24" x14ac:dyDescent="0.25">
      <c r="A190" t="s">
        <v>796</v>
      </c>
      <c r="B190" t="s">
        <v>797</v>
      </c>
      <c r="C190" s="1">
        <v>46144</v>
      </c>
      <c r="D190" t="s">
        <v>22</v>
      </c>
      <c r="E190" t="b">
        <v>0</v>
      </c>
      <c r="F190">
        <v>1</v>
      </c>
      <c r="G190" s="2">
        <v>0.71111111111111114</v>
      </c>
      <c r="H190" t="s">
        <v>798</v>
      </c>
      <c r="I190" t="s">
        <v>798</v>
      </c>
      <c r="J190" t="s">
        <v>22</v>
      </c>
      <c r="K190" t="b">
        <v>0</v>
      </c>
      <c r="L190" t="b">
        <v>0</v>
      </c>
      <c r="M190">
        <v>5.8482499999999895</v>
      </c>
      <c r="N190">
        <v>5</v>
      </c>
      <c r="O190" t="s">
        <v>799</v>
      </c>
      <c r="P190">
        <v>0.36849999999999999</v>
      </c>
      <c r="Q190">
        <f>_xlfn.XLOOKUP(Table1[[#This Row],[session_id]],[1]chats_with_feedback!$A:$A,[1]chats_with_feedback!$F:$F)</f>
        <v>3</v>
      </c>
      <c r="R190">
        <f>_xlfn.XLOOKUP(Table1[[#This Row],[session_id]],[1]chats_with_feedback!$A:$A,[1]chats_with_feedback!$G:$G)</f>
        <v>7</v>
      </c>
      <c r="S190">
        <f>_xlfn.XLOOKUP(Table1[[#This Row],[session_id]],[1]chats_with_feedback!$A:$A,[1]chats_with_feedback!$J:$J)</f>
        <v>2</v>
      </c>
      <c r="T190" t="str">
        <f>_xlfn.XLOOKUP(Table1[[#This Row],[csat_score]],Sheet2!A:A,Sheet2!D:D)</f>
        <v>Media</v>
      </c>
      <c r="U190" t="str">
        <f>_xlfn.XLOOKUP(Table1[[#This Row],[nps_score]],Sheet2!B:B,Sheet2!E:E)</f>
        <v>passive</v>
      </c>
      <c r="V190" t="str">
        <f>_xlfn.XLOOKUP(Table1[[#This Row],[resolution_numeric]],Sheet2!C:C,Sheet2!F:F)</f>
        <v>partial</v>
      </c>
      <c r="W190">
        <f>1</f>
        <v>1</v>
      </c>
      <c r="X190">
        <f>IF(ISBLANK(Table1[[#This Row],[nps_category]]),0,1)</f>
        <v>1</v>
      </c>
    </row>
    <row r="191" spans="1:24" x14ac:dyDescent="0.25">
      <c r="A191" t="s">
        <v>800</v>
      </c>
      <c r="B191" t="s">
        <v>801</v>
      </c>
      <c r="C191" s="1">
        <v>46144</v>
      </c>
      <c r="D191" t="s">
        <v>22</v>
      </c>
      <c r="E191" t="b">
        <v>0</v>
      </c>
      <c r="F191">
        <v>1</v>
      </c>
      <c r="G191" s="2">
        <v>0.72499999999999998</v>
      </c>
      <c r="H191" t="s">
        <v>802</v>
      </c>
      <c r="I191" t="s">
        <v>802</v>
      </c>
      <c r="J191" t="s">
        <v>22</v>
      </c>
      <c r="K191" t="b">
        <v>0</v>
      </c>
      <c r="L191" t="b">
        <v>0</v>
      </c>
      <c r="M191">
        <v>3.1744500000000002</v>
      </c>
      <c r="N191">
        <v>5</v>
      </c>
      <c r="O191" t="s">
        <v>803</v>
      </c>
      <c r="P191">
        <v>0.37119999999999997</v>
      </c>
      <c r="Q191">
        <f>_xlfn.XLOOKUP(Table1[[#This Row],[session_id]],[1]chats_with_feedback!$A:$A,[1]chats_with_feedback!$F:$F)</f>
        <v>3</v>
      </c>
      <c r="R191">
        <f>_xlfn.XLOOKUP(Table1[[#This Row],[session_id]],[1]chats_with_feedback!$A:$A,[1]chats_with_feedback!$G:$G)</f>
        <v>7</v>
      </c>
      <c r="S191">
        <f>_xlfn.XLOOKUP(Table1[[#This Row],[session_id]],[1]chats_with_feedback!$A:$A,[1]chats_with_feedback!$J:$J)</f>
        <v>2</v>
      </c>
      <c r="T191" t="str">
        <f>_xlfn.XLOOKUP(Table1[[#This Row],[csat_score]],Sheet2!A:A,Sheet2!D:D)</f>
        <v>Media</v>
      </c>
      <c r="U191" t="str">
        <f>_xlfn.XLOOKUP(Table1[[#This Row],[nps_score]],Sheet2!B:B,Sheet2!E:E)</f>
        <v>passive</v>
      </c>
      <c r="V191" t="str">
        <f>_xlfn.XLOOKUP(Table1[[#This Row],[resolution_numeric]],Sheet2!C:C,Sheet2!F:F)</f>
        <v>partial</v>
      </c>
      <c r="W191">
        <f>1</f>
        <v>1</v>
      </c>
      <c r="X191">
        <f>IF(ISBLANK(Table1[[#This Row],[nps_category]]),0,1)</f>
        <v>1</v>
      </c>
    </row>
    <row r="192" spans="1:24" x14ac:dyDescent="0.25">
      <c r="A192" t="s">
        <v>810</v>
      </c>
      <c r="B192" t="s">
        <v>811</v>
      </c>
      <c r="C192" s="1">
        <v>46144</v>
      </c>
      <c r="D192" t="s">
        <v>45</v>
      </c>
      <c r="E192" t="b">
        <v>1</v>
      </c>
      <c r="F192">
        <v>1</v>
      </c>
      <c r="G192" s="2">
        <v>0.38055555555555554</v>
      </c>
      <c r="H192" t="s">
        <v>812</v>
      </c>
      <c r="I192" t="s">
        <v>812</v>
      </c>
      <c r="J192" t="s">
        <v>45</v>
      </c>
      <c r="K192" t="b">
        <v>1</v>
      </c>
      <c r="L192" t="b">
        <v>0</v>
      </c>
      <c r="M192">
        <v>9.4460666666666615</v>
      </c>
      <c r="N192">
        <v>5</v>
      </c>
      <c r="O192" t="s">
        <v>113</v>
      </c>
      <c r="P192">
        <v>0.76929999999999998</v>
      </c>
      <c r="Q192">
        <f>_xlfn.XLOOKUP(Table1[[#This Row],[session_id]],[1]chats_with_feedback!$A:$A,[1]chats_with_feedback!$F:$F)</f>
        <v>5</v>
      </c>
      <c r="R192">
        <f>_xlfn.XLOOKUP(Table1[[#This Row],[session_id]],[1]chats_with_feedback!$A:$A,[1]chats_with_feedback!$G:$G)</f>
        <v>10</v>
      </c>
      <c r="S192">
        <f>_xlfn.XLOOKUP(Table1[[#This Row],[session_id]],[1]chats_with_feedback!$A:$A,[1]chats_with_feedback!$J:$J)</f>
        <v>3</v>
      </c>
      <c r="T192" t="str">
        <f>_xlfn.XLOOKUP(Table1[[#This Row],[csat_score]],Sheet2!A:A,Sheet2!D:D)</f>
        <v>Alta</v>
      </c>
      <c r="U192" t="str">
        <f>_xlfn.XLOOKUP(Table1[[#This Row],[nps_score]],Sheet2!B:B,Sheet2!E:E)</f>
        <v>promoter</v>
      </c>
      <c r="V192" t="str">
        <f>_xlfn.XLOOKUP(Table1[[#This Row],[resolution_numeric]],Sheet2!C:C,Sheet2!F:F)</f>
        <v>yes</v>
      </c>
      <c r="W192">
        <f>1</f>
        <v>1</v>
      </c>
      <c r="X192">
        <f>IF(ISBLANK(Table1[[#This Row],[nps_category]]),0,1)</f>
        <v>1</v>
      </c>
    </row>
    <row r="193" spans="1:24" x14ac:dyDescent="0.25">
      <c r="A193" t="s">
        <v>813</v>
      </c>
      <c r="B193" t="s">
        <v>814</v>
      </c>
      <c r="C193" s="1">
        <v>46144</v>
      </c>
      <c r="D193" t="s">
        <v>45</v>
      </c>
      <c r="E193" t="b">
        <v>1</v>
      </c>
      <c r="F193">
        <v>1</v>
      </c>
      <c r="G193" s="2">
        <v>0.59166666666666667</v>
      </c>
      <c r="H193" t="s">
        <v>815</v>
      </c>
      <c r="I193" t="s">
        <v>815</v>
      </c>
      <c r="J193" t="s">
        <v>45</v>
      </c>
      <c r="K193" t="b">
        <v>1</v>
      </c>
      <c r="L193" t="b">
        <v>0</v>
      </c>
      <c r="M193">
        <v>3.4782833333333301</v>
      </c>
      <c r="N193">
        <v>5</v>
      </c>
      <c r="O193" t="s">
        <v>816</v>
      </c>
      <c r="P193">
        <v>0.2054</v>
      </c>
      <c r="Q193">
        <f>_xlfn.XLOOKUP(Table1[[#This Row],[session_id]],[1]chats_with_feedback!$A:$A,[1]chats_with_feedback!$F:$F)</f>
        <v>2</v>
      </c>
      <c r="R193">
        <f>_xlfn.XLOOKUP(Table1[[#This Row],[session_id]],[1]chats_with_feedback!$A:$A,[1]chats_with_feedback!$G:$G)</f>
        <v>3</v>
      </c>
      <c r="S193">
        <f>_xlfn.XLOOKUP(Table1[[#This Row],[session_id]],[1]chats_with_feedback!$A:$A,[1]chats_with_feedback!$J:$J)</f>
        <v>1</v>
      </c>
      <c r="T193" t="str">
        <f>_xlfn.XLOOKUP(Table1[[#This Row],[csat_score]],Sheet2!A:A,Sheet2!D:D)</f>
        <v>Baja</v>
      </c>
      <c r="U193" t="str">
        <f>_xlfn.XLOOKUP(Table1[[#This Row],[nps_score]],Sheet2!B:B,Sheet2!E:E)</f>
        <v>detractor</v>
      </c>
      <c r="V193" t="str">
        <f>_xlfn.XLOOKUP(Table1[[#This Row],[resolution_numeric]],Sheet2!C:C,Sheet2!F:F)</f>
        <v>no</v>
      </c>
      <c r="W193">
        <f>1</f>
        <v>1</v>
      </c>
      <c r="X193">
        <f>IF(ISBLANK(Table1[[#This Row],[nps_category]]),0,1)</f>
        <v>1</v>
      </c>
    </row>
    <row r="194" spans="1:24" x14ac:dyDescent="0.25">
      <c r="A194" t="s">
        <v>817</v>
      </c>
      <c r="B194" t="s">
        <v>818</v>
      </c>
      <c r="C194" s="1">
        <v>46144</v>
      </c>
      <c r="D194" t="s">
        <v>22</v>
      </c>
      <c r="E194" t="b">
        <v>0</v>
      </c>
      <c r="F194">
        <v>1</v>
      </c>
      <c r="G194" s="2">
        <v>0.6479166666666667</v>
      </c>
      <c r="H194" t="s">
        <v>819</v>
      </c>
      <c r="I194" t="s">
        <v>819</v>
      </c>
      <c r="J194" t="s">
        <v>22</v>
      </c>
      <c r="K194" t="b">
        <v>0</v>
      </c>
      <c r="L194" t="b">
        <v>0</v>
      </c>
      <c r="M194">
        <v>5.89261666666666</v>
      </c>
      <c r="N194">
        <v>5</v>
      </c>
      <c r="O194" t="s">
        <v>820</v>
      </c>
      <c r="P194">
        <v>0.44490000000000002</v>
      </c>
      <c r="Q194">
        <f>_xlfn.XLOOKUP(Table1[[#This Row],[session_id]],[1]chats_with_feedback!$A:$A,[1]chats_with_feedback!$F:$F)</f>
        <v>5</v>
      </c>
      <c r="R194">
        <f>_xlfn.XLOOKUP(Table1[[#This Row],[session_id]],[1]chats_with_feedback!$A:$A,[1]chats_with_feedback!$G:$G)</f>
        <v>10</v>
      </c>
      <c r="S194">
        <f>_xlfn.XLOOKUP(Table1[[#This Row],[session_id]],[1]chats_with_feedback!$A:$A,[1]chats_with_feedback!$J:$J)</f>
        <v>3</v>
      </c>
      <c r="T194" t="str">
        <f>_xlfn.XLOOKUP(Table1[[#This Row],[csat_score]],Sheet2!A:A,Sheet2!D:D)</f>
        <v>Alta</v>
      </c>
      <c r="U194" t="str">
        <f>_xlfn.XLOOKUP(Table1[[#This Row],[nps_score]],Sheet2!B:B,Sheet2!E:E)</f>
        <v>promoter</v>
      </c>
      <c r="V194" t="str">
        <f>_xlfn.XLOOKUP(Table1[[#This Row],[resolution_numeric]],Sheet2!C:C,Sheet2!F:F)</f>
        <v>yes</v>
      </c>
      <c r="W194">
        <f>1</f>
        <v>1</v>
      </c>
      <c r="X194">
        <f>IF(ISBLANK(Table1[[#This Row],[nps_category]]),0,1)</f>
        <v>1</v>
      </c>
    </row>
    <row r="195" spans="1:24" x14ac:dyDescent="0.25">
      <c r="A195" t="s">
        <v>825</v>
      </c>
      <c r="B195" t="s">
        <v>826</v>
      </c>
      <c r="C195" s="1">
        <v>46144</v>
      </c>
      <c r="D195" t="s">
        <v>22</v>
      </c>
      <c r="E195" t="b">
        <v>0</v>
      </c>
      <c r="F195">
        <v>1</v>
      </c>
      <c r="G195" s="2">
        <v>0.91666666666666663</v>
      </c>
      <c r="H195" t="s">
        <v>827</v>
      </c>
      <c r="I195" t="s">
        <v>827</v>
      </c>
      <c r="J195" t="s">
        <v>22</v>
      </c>
      <c r="K195" t="b">
        <v>0</v>
      </c>
      <c r="L195" t="b">
        <v>0</v>
      </c>
      <c r="M195">
        <v>2.8826333333333301</v>
      </c>
      <c r="N195">
        <v>5</v>
      </c>
      <c r="O195" t="s">
        <v>828</v>
      </c>
      <c r="P195">
        <v>0.36099999999999999</v>
      </c>
      <c r="Q195">
        <f>_xlfn.XLOOKUP(Table1[[#This Row],[session_id]],[1]chats_with_feedback!$A:$A,[1]chats_with_feedback!$F:$F)</f>
        <v>3</v>
      </c>
      <c r="R195">
        <f>_xlfn.XLOOKUP(Table1[[#This Row],[session_id]],[1]chats_with_feedback!$A:$A,[1]chats_with_feedback!$G:$G)</f>
        <v>7</v>
      </c>
      <c r="S195">
        <f>_xlfn.XLOOKUP(Table1[[#This Row],[session_id]],[1]chats_with_feedback!$A:$A,[1]chats_with_feedback!$J:$J)</f>
        <v>2</v>
      </c>
      <c r="T195" t="str">
        <f>_xlfn.XLOOKUP(Table1[[#This Row],[csat_score]],Sheet2!A:A,Sheet2!D:D)</f>
        <v>Media</v>
      </c>
      <c r="U195" t="str">
        <f>_xlfn.XLOOKUP(Table1[[#This Row],[nps_score]],Sheet2!B:B,Sheet2!E:E)</f>
        <v>passive</v>
      </c>
      <c r="V195" t="str">
        <f>_xlfn.XLOOKUP(Table1[[#This Row],[resolution_numeric]],Sheet2!C:C,Sheet2!F:F)</f>
        <v>partial</v>
      </c>
      <c r="W195">
        <f>1</f>
        <v>1</v>
      </c>
      <c r="X195">
        <f>IF(ISBLANK(Table1[[#This Row],[nps_category]]),0,1)</f>
        <v>1</v>
      </c>
    </row>
    <row r="196" spans="1:24" x14ac:dyDescent="0.25">
      <c r="A196" t="s">
        <v>832</v>
      </c>
      <c r="B196" t="s">
        <v>833</v>
      </c>
      <c r="C196" s="1">
        <v>46144</v>
      </c>
      <c r="D196" t="s">
        <v>22</v>
      </c>
      <c r="E196" t="b">
        <v>0</v>
      </c>
      <c r="F196">
        <v>1</v>
      </c>
      <c r="G196" s="2">
        <v>0.75416666666666665</v>
      </c>
      <c r="H196" t="s">
        <v>834</v>
      </c>
      <c r="I196" t="s">
        <v>834</v>
      </c>
      <c r="J196" t="s">
        <v>22</v>
      </c>
      <c r="K196" t="b">
        <v>0</v>
      </c>
      <c r="L196" t="b">
        <v>0</v>
      </c>
      <c r="M196">
        <v>5.5267999999999997</v>
      </c>
      <c r="N196">
        <v>5</v>
      </c>
      <c r="O196" t="s">
        <v>835</v>
      </c>
      <c r="P196">
        <v>0.36880000000000002</v>
      </c>
      <c r="Q196">
        <f>_xlfn.XLOOKUP(Table1[[#This Row],[session_id]],[1]chats_with_feedback!$A:$A,[1]chats_with_feedback!$F:$F)</f>
        <v>3</v>
      </c>
      <c r="R196">
        <f>_xlfn.XLOOKUP(Table1[[#This Row],[session_id]],[1]chats_with_feedback!$A:$A,[1]chats_with_feedback!$G:$G)</f>
        <v>7</v>
      </c>
      <c r="S196">
        <f>_xlfn.XLOOKUP(Table1[[#This Row],[session_id]],[1]chats_with_feedback!$A:$A,[1]chats_with_feedback!$J:$J)</f>
        <v>2</v>
      </c>
      <c r="T196" t="str">
        <f>_xlfn.XLOOKUP(Table1[[#This Row],[csat_score]],Sheet2!A:A,Sheet2!D:D)</f>
        <v>Media</v>
      </c>
      <c r="U196" t="str">
        <f>_xlfn.XLOOKUP(Table1[[#This Row],[nps_score]],Sheet2!B:B,Sheet2!E:E)</f>
        <v>passive</v>
      </c>
      <c r="V196" t="str">
        <f>_xlfn.XLOOKUP(Table1[[#This Row],[resolution_numeric]],Sheet2!C:C,Sheet2!F:F)</f>
        <v>partial</v>
      </c>
      <c r="W196">
        <f>1</f>
        <v>1</v>
      </c>
      <c r="X196">
        <f>IF(ISBLANK(Table1[[#This Row],[nps_category]]),0,1)</f>
        <v>1</v>
      </c>
    </row>
    <row r="197" spans="1:24" x14ac:dyDescent="0.25">
      <c r="A197" t="s">
        <v>836</v>
      </c>
      <c r="B197" t="s">
        <v>837</v>
      </c>
      <c r="C197" s="1">
        <v>46144</v>
      </c>
      <c r="D197" t="s">
        <v>22</v>
      </c>
      <c r="E197" t="b">
        <v>0</v>
      </c>
      <c r="F197">
        <v>1</v>
      </c>
      <c r="G197" s="2">
        <v>0.29236111111111113</v>
      </c>
      <c r="H197" t="s">
        <v>838</v>
      </c>
      <c r="I197" t="s">
        <v>838</v>
      </c>
      <c r="J197" t="s">
        <v>22</v>
      </c>
      <c r="K197" t="b">
        <v>0</v>
      </c>
      <c r="L197" t="b">
        <v>0</v>
      </c>
      <c r="M197">
        <v>3.4728333333333299</v>
      </c>
      <c r="N197">
        <v>5</v>
      </c>
      <c r="O197" t="s">
        <v>113</v>
      </c>
      <c r="P197">
        <v>0.76929999999999998</v>
      </c>
      <c r="Q197">
        <f>_xlfn.XLOOKUP(Table1[[#This Row],[session_id]],[1]chats_with_feedback!$A:$A,[1]chats_with_feedback!$F:$F)</f>
        <v>5</v>
      </c>
      <c r="R197">
        <f>_xlfn.XLOOKUP(Table1[[#This Row],[session_id]],[1]chats_with_feedback!$A:$A,[1]chats_with_feedback!$G:$G)</f>
        <v>10</v>
      </c>
      <c r="S197">
        <f>_xlfn.XLOOKUP(Table1[[#This Row],[session_id]],[1]chats_with_feedback!$A:$A,[1]chats_with_feedback!$J:$J)</f>
        <v>3</v>
      </c>
      <c r="T197" t="str">
        <f>_xlfn.XLOOKUP(Table1[[#This Row],[csat_score]],Sheet2!A:A,Sheet2!D:D)</f>
        <v>Alta</v>
      </c>
      <c r="U197" t="str">
        <f>_xlfn.XLOOKUP(Table1[[#This Row],[nps_score]],Sheet2!B:B,Sheet2!E:E)</f>
        <v>promoter</v>
      </c>
      <c r="V197" t="str">
        <f>_xlfn.XLOOKUP(Table1[[#This Row],[resolution_numeric]],Sheet2!C:C,Sheet2!F:F)</f>
        <v>yes</v>
      </c>
      <c r="W197">
        <f>1</f>
        <v>1</v>
      </c>
      <c r="X197">
        <f>IF(ISBLANK(Table1[[#This Row],[nps_category]]),0,1)</f>
        <v>1</v>
      </c>
    </row>
    <row r="198" spans="1:24" x14ac:dyDescent="0.25">
      <c r="A198" t="s">
        <v>868</v>
      </c>
      <c r="B198" t="s">
        <v>869</v>
      </c>
      <c r="C198" s="1">
        <v>46144</v>
      </c>
      <c r="D198" t="s">
        <v>45</v>
      </c>
      <c r="E198" t="b">
        <v>1</v>
      </c>
      <c r="F198">
        <v>1</v>
      </c>
      <c r="G198" s="2">
        <v>0.93888888888888888</v>
      </c>
      <c r="H198" t="s">
        <v>870</v>
      </c>
      <c r="I198" t="s">
        <v>870</v>
      </c>
      <c r="J198" t="s">
        <v>45</v>
      </c>
      <c r="K198" t="b">
        <v>1</v>
      </c>
      <c r="L198" t="b">
        <v>0</v>
      </c>
      <c r="M198">
        <v>15.278099999999998</v>
      </c>
      <c r="N198">
        <v>5</v>
      </c>
      <c r="O198" t="s">
        <v>106</v>
      </c>
      <c r="P198">
        <v>0.88949999999999996</v>
      </c>
      <c r="Q198">
        <f>_xlfn.XLOOKUP(Table1[[#This Row],[session_id]],[1]chats_with_feedback!$A:$A,[1]chats_with_feedback!$F:$F)</f>
        <v>3</v>
      </c>
      <c r="R198">
        <f>_xlfn.XLOOKUP(Table1[[#This Row],[session_id]],[1]chats_with_feedback!$A:$A,[1]chats_with_feedback!$G:$G)</f>
        <v>7</v>
      </c>
      <c r="S198">
        <f>_xlfn.XLOOKUP(Table1[[#This Row],[session_id]],[1]chats_with_feedback!$A:$A,[1]chats_with_feedback!$J:$J)</f>
        <v>2</v>
      </c>
      <c r="T198" t="str">
        <f>_xlfn.XLOOKUP(Table1[[#This Row],[csat_score]],Sheet2!A:A,Sheet2!D:D)</f>
        <v>Media</v>
      </c>
      <c r="U198" t="str">
        <f>_xlfn.XLOOKUP(Table1[[#This Row],[nps_score]],Sheet2!B:B,Sheet2!E:E)</f>
        <v>passive</v>
      </c>
      <c r="V198" t="str">
        <f>_xlfn.XLOOKUP(Table1[[#This Row],[resolution_numeric]],Sheet2!C:C,Sheet2!F:F)</f>
        <v>partial</v>
      </c>
      <c r="W198">
        <f>1</f>
        <v>1</v>
      </c>
      <c r="X198">
        <f>IF(ISBLANK(Table1[[#This Row],[nps_category]]),0,1)</f>
        <v>1</v>
      </c>
    </row>
    <row r="199" spans="1:24" x14ac:dyDescent="0.25">
      <c r="A199" t="s">
        <v>883</v>
      </c>
      <c r="B199" t="s">
        <v>884</v>
      </c>
      <c r="C199" s="1">
        <v>46144</v>
      </c>
      <c r="D199" t="s">
        <v>45</v>
      </c>
      <c r="E199" t="b">
        <v>1</v>
      </c>
      <c r="F199">
        <v>1</v>
      </c>
      <c r="G199" s="2">
        <v>0.1986111111111111</v>
      </c>
      <c r="H199" t="s">
        <v>885</v>
      </c>
      <c r="I199" t="s">
        <v>885</v>
      </c>
      <c r="J199" t="s">
        <v>45</v>
      </c>
      <c r="K199" t="b">
        <v>1</v>
      </c>
      <c r="L199" t="b">
        <v>0</v>
      </c>
      <c r="M199">
        <v>3.4897833333333299</v>
      </c>
      <c r="N199">
        <v>5</v>
      </c>
      <c r="O199" t="s">
        <v>106</v>
      </c>
      <c r="P199">
        <v>0.99939999999999996</v>
      </c>
      <c r="Q199">
        <f>_xlfn.XLOOKUP(Table1[[#This Row],[session_id]],[1]chats_with_feedback!$A:$A,[1]chats_with_feedback!$F:$F)</f>
        <v>5</v>
      </c>
      <c r="R199">
        <f>_xlfn.XLOOKUP(Table1[[#This Row],[session_id]],[1]chats_with_feedback!$A:$A,[1]chats_with_feedback!$G:$G)</f>
        <v>10</v>
      </c>
      <c r="S199">
        <f>_xlfn.XLOOKUP(Table1[[#This Row],[session_id]],[1]chats_with_feedback!$A:$A,[1]chats_with_feedback!$J:$J)</f>
        <v>3</v>
      </c>
      <c r="T199" t="str">
        <f>_xlfn.XLOOKUP(Table1[[#This Row],[csat_score]],Sheet2!A:A,Sheet2!D:D)</f>
        <v>Alta</v>
      </c>
      <c r="U199" t="str">
        <f>_xlfn.XLOOKUP(Table1[[#This Row],[nps_score]],Sheet2!B:B,Sheet2!E:E)</f>
        <v>promoter</v>
      </c>
      <c r="V199" t="str">
        <f>_xlfn.XLOOKUP(Table1[[#This Row],[resolution_numeric]],Sheet2!C:C,Sheet2!F:F)</f>
        <v>yes</v>
      </c>
      <c r="W199">
        <f>1</f>
        <v>1</v>
      </c>
      <c r="X199">
        <f>IF(ISBLANK(Table1[[#This Row],[nps_category]]),0,1)</f>
        <v>1</v>
      </c>
    </row>
    <row r="200" spans="1:24" x14ac:dyDescent="0.25">
      <c r="A200" t="s">
        <v>916</v>
      </c>
      <c r="B200" t="s">
        <v>917</v>
      </c>
      <c r="C200" s="1">
        <v>46144</v>
      </c>
      <c r="D200" t="s">
        <v>45</v>
      </c>
      <c r="E200" t="b">
        <v>1</v>
      </c>
      <c r="F200">
        <v>1</v>
      </c>
      <c r="G200" s="2">
        <v>0.25833333333333336</v>
      </c>
      <c r="H200" t="s">
        <v>918</v>
      </c>
      <c r="I200" t="s">
        <v>918</v>
      </c>
      <c r="J200" t="s">
        <v>45</v>
      </c>
      <c r="K200" t="b">
        <v>1</v>
      </c>
      <c r="L200" t="b">
        <v>0</v>
      </c>
      <c r="M200">
        <v>4.7104333333333299</v>
      </c>
      <c r="N200">
        <v>5</v>
      </c>
      <c r="O200" t="s">
        <v>273</v>
      </c>
      <c r="P200">
        <v>0.34960000000000002</v>
      </c>
      <c r="Q200">
        <f>_xlfn.XLOOKUP(Table1[[#This Row],[session_id]],[1]chats_with_feedback!$A:$A,[1]chats_with_feedback!$F:$F)</f>
        <v>3</v>
      </c>
      <c r="R200">
        <f>_xlfn.XLOOKUP(Table1[[#This Row],[session_id]],[1]chats_with_feedback!$A:$A,[1]chats_with_feedback!$G:$G)</f>
        <v>7</v>
      </c>
      <c r="S200">
        <f>_xlfn.XLOOKUP(Table1[[#This Row],[session_id]],[1]chats_with_feedback!$A:$A,[1]chats_with_feedback!$J:$J)</f>
        <v>2</v>
      </c>
      <c r="T200" t="str">
        <f>_xlfn.XLOOKUP(Table1[[#This Row],[csat_score]],Sheet2!A:A,Sheet2!D:D)</f>
        <v>Media</v>
      </c>
      <c r="U200" t="str">
        <f>_xlfn.XLOOKUP(Table1[[#This Row],[nps_score]],Sheet2!B:B,Sheet2!E:E)</f>
        <v>passive</v>
      </c>
      <c r="V200" t="str">
        <f>_xlfn.XLOOKUP(Table1[[#This Row],[resolution_numeric]],Sheet2!C:C,Sheet2!F:F)</f>
        <v>partial</v>
      </c>
      <c r="W200">
        <f>1</f>
        <v>1</v>
      </c>
      <c r="X200">
        <f>IF(ISBLANK(Table1[[#This Row],[nps_category]]),0,1)</f>
        <v>1</v>
      </c>
    </row>
    <row r="201" spans="1:24" x14ac:dyDescent="0.25">
      <c r="A201" t="s">
        <v>930</v>
      </c>
      <c r="B201" t="s">
        <v>931</v>
      </c>
      <c r="C201" s="1">
        <v>46144</v>
      </c>
      <c r="D201" t="s">
        <v>22</v>
      </c>
      <c r="E201" t="b">
        <v>0</v>
      </c>
      <c r="F201">
        <v>1</v>
      </c>
      <c r="G201" s="2">
        <v>0.56388888888888888</v>
      </c>
      <c r="H201" t="s">
        <v>932</v>
      </c>
      <c r="I201" t="s">
        <v>932</v>
      </c>
      <c r="J201" t="s">
        <v>22</v>
      </c>
      <c r="K201" t="b">
        <v>0</v>
      </c>
      <c r="L201" t="b">
        <v>0</v>
      </c>
      <c r="M201">
        <v>5.3808333333333298</v>
      </c>
      <c r="N201">
        <v>5</v>
      </c>
      <c r="O201" t="s">
        <v>933</v>
      </c>
      <c r="P201">
        <v>0.2311</v>
      </c>
      <c r="Q201">
        <f>_xlfn.XLOOKUP(Table1[[#This Row],[session_id]],[1]chats_with_feedback!$A:$A,[1]chats_with_feedback!$F:$F)</f>
        <v>2</v>
      </c>
      <c r="R201">
        <f>_xlfn.XLOOKUP(Table1[[#This Row],[session_id]],[1]chats_with_feedback!$A:$A,[1]chats_with_feedback!$G:$G)</f>
        <v>3</v>
      </c>
      <c r="S201">
        <f>_xlfn.XLOOKUP(Table1[[#This Row],[session_id]],[1]chats_with_feedback!$A:$A,[1]chats_with_feedback!$J:$J)</f>
        <v>1</v>
      </c>
      <c r="T201" t="str">
        <f>_xlfn.XLOOKUP(Table1[[#This Row],[csat_score]],Sheet2!A:A,Sheet2!D:D)</f>
        <v>Baja</v>
      </c>
      <c r="U201" t="str">
        <f>_xlfn.XLOOKUP(Table1[[#This Row],[nps_score]],Sheet2!B:B,Sheet2!E:E)</f>
        <v>detractor</v>
      </c>
      <c r="V201" t="str">
        <f>_xlfn.XLOOKUP(Table1[[#This Row],[resolution_numeric]],Sheet2!C:C,Sheet2!F:F)</f>
        <v>no</v>
      </c>
      <c r="W201">
        <f>1</f>
        <v>1</v>
      </c>
      <c r="X201">
        <f>IF(ISBLANK(Table1[[#This Row],[nps_category]]),0,1)</f>
        <v>1</v>
      </c>
    </row>
    <row r="202" spans="1:24" x14ac:dyDescent="0.25">
      <c r="A202" t="s">
        <v>940</v>
      </c>
      <c r="B202" t="s">
        <v>941</v>
      </c>
      <c r="C202" s="1">
        <v>46144</v>
      </c>
      <c r="D202" t="s">
        <v>45</v>
      </c>
      <c r="E202" t="b">
        <v>1</v>
      </c>
      <c r="F202">
        <v>1</v>
      </c>
      <c r="G202" s="2">
        <v>0.75902777777777775</v>
      </c>
      <c r="H202" t="s">
        <v>942</v>
      </c>
      <c r="I202" t="s">
        <v>942</v>
      </c>
      <c r="J202" t="s">
        <v>45</v>
      </c>
      <c r="K202" t="b">
        <v>1</v>
      </c>
      <c r="L202" t="b">
        <v>0</v>
      </c>
      <c r="M202">
        <v>3.9369000000000001</v>
      </c>
      <c r="N202">
        <v>5</v>
      </c>
      <c r="O202" t="s">
        <v>229</v>
      </c>
      <c r="P202">
        <v>0.27689999999999998</v>
      </c>
      <c r="Q202">
        <f>_xlfn.XLOOKUP(Table1[[#This Row],[session_id]],[1]chats_with_feedback!$A:$A,[1]chats_with_feedback!$F:$F)</f>
        <v>2</v>
      </c>
      <c r="R202">
        <f>_xlfn.XLOOKUP(Table1[[#This Row],[session_id]],[1]chats_with_feedback!$A:$A,[1]chats_with_feedback!$G:$G)</f>
        <v>3</v>
      </c>
      <c r="S202">
        <f>_xlfn.XLOOKUP(Table1[[#This Row],[session_id]],[1]chats_with_feedback!$A:$A,[1]chats_with_feedback!$J:$J)</f>
        <v>1</v>
      </c>
      <c r="T202" t="str">
        <f>_xlfn.XLOOKUP(Table1[[#This Row],[csat_score]],Sheet2!A:A,Sheet2!D:D)</f>
        <v>Baja</v>
      </c>
      <c r="U202" t="str">
        <f>_xlfn.XLOOKUP(Table1[[#This Row],[nps_score]],Sheet2!B:B,Sheet2!E:E)</f>
        <v>detractor</v>
      </c>
      <c r="V202" t="str">
        <f>_xlfn.XLOOKUP(Table1[[#This Row],[resolution_numeric]],Sheet2!C:C,Sheet2!F:F)</f>
        <v>no</v>
      </c>
      <c r="W202">
        <f>1</f>
        <v>1</v>
      </c>
      <c r="X202">
        <f>IF(ISBLANK(Table1[[#This Row],[nps_category]]),0,1)</f>
        <v>1</v>
      </c>
    </row>
    <row r="203" spans="1:24" x14ac:dyDescent="0.25">
      <c r="A203" t="s">
        <v>957</v>
      </c>
      <c r="B203" t="s">
        <v>958</v>
      </c>
      <c r="C203" s="1">
        <v>46144</v>
      </c>
      <c r="D203" t="s">
        <v>22</v>
      </c>
      <c r="E203" t="b">
        <v>0</v>
      </c>
      <c r="F203">
        <v>1</v>
      </c>
      <c r="G203" s="2">
        <v>0.97013888888888888</v>
      </c>
      <c r="H203" t="s">
        <v>959</v>
      </c>
      <c r="I203" t="s">
        <v>959</v>
      </c>
      <c r="J203" t="s">
        <v>22</v>
      </c>
      <c r="K203" t="b">
        <v>0</v>
      </c>
      <c r="L203" t="b">
        <v>0</v>
      </c>
      <c r="M203">
        <v>4.1244500000000004</v>
      </c>
      <c r="N203">
        <v>5</v>
      </c>
      <c r="O203" t="s">
        <v>63</v>
      </c>
      <c r="P203">
        <v>0.2281</v>
      </c>
      <c r="Q203">
        <f>_xlfn.XLOOKUP(Table1[[#This Row],[session_id]],[1]chats_with_feedback!$A:$A,[1]chats_with_feedback!$F:$F)</f>
        <v>2</v>
      </c>
      <c r="R203">
        <f>_xlfn.XLOOKUP(Table1[[#This Row],[session_id]],[1]chats_with_feedback!$A:$A,[1]chats_with_feedback!$G:$G)</f>
        <v>3</v>
      </c>
      <c r="S203">
        <f>_xlfn.XLOOKUP(Table1[[#This Row],[session_id]],[1]chats_with_feedback!$A:$A,[1]chats_with_feedback!$J:$J)</f>
        <v>1</v>
      </c>
      <c r="T203" t="str">
        <f>_xlfn.XLOOKUP(Table1[[#This Row],[csat_score]],Sheet2!A:A,Sheet2!D:D)</f>
        <v>Baja</v>
      </c>
      <c r="U203" t="str">
        <f>_xlfn.XLOOKUP(Table1[[#This Row],[nps_score]],Sheet2!B:B,Sheet2!E:E)</f>
        <v>detractor</v>
      </c>
      <c r="V203" t="str">
        <f>_xlfn.XLOOKUP(Table1[[#This Row],[resolution_numeric]],Sheet2!C:C,Sheet2!F:F)</f>
        <v>no</v>
      </c>
      <c r="W203">
        <f>1</f>
        <v>1</v>
      </c>
      <c r="X203">
        <f>IF(ISBLANK(Table1[[#This Row],[nps_category]]),0,1)</f>
        <v>1</v>
      </c>
    </row>
    <row r="204" spans="1:24" x14ac:dyDescent="0.25">
      <c r="A204" t="s">
        <v>960</v>
      </c>
      <c r="B204" t="s">
        <v>961</v>
      </c>
      <c r="C204" s="1">
        <v>46144</v>
      </c>
      <c r="D204" t="s">
        <v>22</v>
      </c>
      <c r="E204" t="b">
        <v>0</v>
      </c>
      <c r="F204">
        <v>1</v>
      </c>
      <c r="G204" s="2">
        <v>0.92708333333333337</v>
      </c>
      <c r="H204" t="s">
        <v>962</v>
      </c>
      <c r="I204" t="s">
        <v>962</v>
      </c>
      <c r="J204" t="s">
        <v>22</v>
      </c>
      <c r="K204" t="b">
        <v>0</v>
      </c>
      <c r="L204" t="b">
        <v>0</v>
      </c>
      <c r="M204">
        <v>4.7973666666666599</v>
      </c>
      <c r="N204">
        <v>5</v>
      </c>
      <c r="O204" t="s">
        <v>51</v>
      </c>
      <c r="P204">
        <v>0.42899999999999999</v>
      </c>
      <c r="Q204">
        <f>_xlfn.XLOOKUP(Table1[[#This Row],[session_id]],[1]chats_with_feedback!$A:$A,[1]chats_with_feedback!$F:$F)</f>
        <v>5</v>
      </c>
      <c r="R204">
        <f>_xlfn.XLOOKUP(Table1[[#This Row],[session_id]],[1]chats_with_feedback!$A:$A,[1]chats_with_feedback!$G:$G)</f>
        <v>10</v>
      </c>
      <c r="S204">
        <f>_xlfn.XLOOKUP(Table1[[#This Row],[session_id]],[1]chats_with_feedback!$A:$A,[1]chats_with_feedback!$J:$J)</f>
        <v>3</v>
      </c>
      <c r="T204" t="str">
        <f>_xlfn.XLOOKUP(Table1[[#This Row],[csat_score]],Sheet2!A:A,Sheet2!D:D)</f>
        <v>Alta</v>
      </c>
      <c r="U204" t="str">
        <f>_xlfn.XLOOKUP(Table1[[#This Row],[nps_score]],Sheet2!B:B,Sheet2!E:E)</f>
        <v>promoter</v>
      </c>
      <c r="V204" t="str">
        <f>_xlfn.XLOOKUP(Table1[[#This Row],[resolution_numeric]],Sheet2!C:C,Sheet2!F:F)</f>
        <v>yes</v>
      </c>
      <c r="W204">
        <f>1</f>
        <v>1</v>
      </c>
      <c r="X204">
        <f>IF(ISBLANK(Table1[[#This Row],[nps_category]]),0,1)</f>
        <v>1</v>
      </c>
    </row>
    <row r="205" spans="1:24" x14ac:dyDescent="0.25">
      <c r="A205" t="s">
        <v>966</v>
      </c>
      <c r="B205" t="s">
        <v>967</v>
      </c>
      <c r="C205" s="1">
        <v>46144</v>
      </c>
      <c r="D205" t="s">
        <v>22</v>
      </c>
      <c r="E205" t="b">
        <v>0</v>
      </c>
      <c r="F205">
        <v>1</v>
      </c>
      <c r="G205" s="2">
        <v>0.50208333333333333</v>
      </c>
      <c r="H205" t="s">
        <v>968</v>
      </c>
      <c r="I205" t="s">
        <v>968</v>
      </c>
      <c r="J205" t="s">
        <v>22</v>
      </c>
      <c r="K205" t="b">
        <v>0</v>
      </c>
      <c r="L205" t="b">
        <v>0</v>
      </c>
      <c r="M205">
        <v>3.2978499999999999</v>
      </c>
      <c r="N205">
        <v>5</v>
      </c>
      <c r="O205" t="s">
        <v>229</v>
      </c>
      <c r="P205">
        <v>0.2235</v>
      </c>
      <c r="Q205">
        <f>_xlfn.XLOOKUP(Table1[[#This Row],[session_id]],[1]chats_with_feedback!$A:$A,[1]chats_with_feedback!$F:$F)</f>
        <v>2</v>
      </c>
      <c r="R205">
        <f>_xlfn.XLOOKUP(Table1[[#This Row],[session_id]],[1]chats_with_feedback!$A:$A,[1]chats_with_feedback!$G:$G)</f>
        <v>3</v>
      </c>
      <c r="S205">
        <f>_xlfn.XLOOKUP(Table1[[#This Row],[session_id]],[1]chats_with_feedback!$A:$A,[1]chats_with_feedback!$J:$J)</f>
        <v>1</v>
      </c>
      <c r="T205" t="str">
        <f>_xlfn.XLOOKUP(Table1[[#This Row],[csat_score]],Sheet2!A:A,Sheet2!D:D)</f>
        <v>Baja</v>
      </c>
      <c r="U205" t="str">
        <f>_xlfn.XLOOKUP(Table1[[#This Row],[nps_score]],Sheet2!B:B,Sheet2!E:E)</f>
        <v>detractor</v>
      </c>
      <c r="V205" t="str">
        <f>_xlfn.XLOOKUP(Table1[[#This Row],[resolution_numeric]],Sheet2!C:C,Sheet2!F:F)</f>
        <v>no</v>
      </c>
      <c r="W205">
        <f>1</f>
        <v>1</v>
      </c>
      <c r="X205">
        <f>IF(ISBLANK(Table1[[#This Row],[nps_category]]),0,1)</f>
        <v>1</v>
      </c>
    </row>
    <row r="206" spans="1:24" x14ac:dyDescent="0.25">
      <c r="A206" t="s">
        <v>998</v>
      </c>
      <c r="B206" t="s">
        <v>999</v>
      </c>
      <c r="C206" s="1">
        <v>46144</v>
      </c>
      <c r="D206" t="s">
        <v>45</v>
      </c>
      <c r="E206" t="b">
        <v>1</v>
      </c>
      <c r="F206">
        <v>1</v>
      </c>
      <c r="G206" s="2">
        <v>0.65416666666666667</v>
      </c>
      <c r="H206" t="s">
        <v>1000</v>
      </c>
      <c r="I206" t="s">
        <v>1000</v>
      </c>
      <c r="J206" t="s">
        <v>45</v>
      </c>
      <c r="K206" t="b">
        <v>1</v>
      </c>
      <c r="L206" t="b">
        <v>0</v>
      </c>
      <c r="M206">
        <v>5.6088333333333305</v>
      </c>
      <c r="N206">
        <v>5</v>
      </c>
      <c r="O206" t="s">
        <v>1001</v>
      </c>
      <c r="P206">
        <v>0.21260000000000001</v>
      </c>
      <c r="Q206">
        <f>_xlfn.XLOOKUP(Table1[[#This Row],[session_id]],[1]chats_with_feedback!$A:$A,[1]chats_with_feedback!$F:$F)</f>
        <v>2</v>
      </c>
      <c r="R206">
        <f>_xlfn.XLOOKUP(Table1[[#This Row],[session_id]],[1]chats_with_feedback!$A:$A,[1]chats_with_feedback!$G:$G)</f>
        <v>3</v>
      </c>
      <c r="S206">
        <f>_xlfn.XLOOKUP(Table1[[#This Row],[session_id]],[1]chats_with_feedback!$A:$A,[1]chats_with_feedback!$J:$J)</f>
        <v>1</v>
      </c>
      <c r="T206" t="str">
        <f>_xlfn.XLOOKUP(Table1[[#This Row],[csat_score]],Sheet2!A:A,Sheet2!D:D)</f>
        <v>Baja</v>
      </c>
      <c r="U206" t="str">
        <f>_xlfn.XLOOKUP(Table1[[#This Row],[nps_score]],Sheet2!B:B,Sheet2!E:E)</f>
        <v>detractor</v>
      </c>
      <c r="V206" t="str">
        <f>_xlfn.XLOOKUP(Table1[[#This Row],[resolution_numeric]],Sheet2!C:C,Sheet2!F:F)</f>
        <v>no</v>
      </c>
      <c r="W206">
        <f>1</f>
        <v>1</v>
      </c>
      <c r="X206">
        <f>IF(ISBLANK(Table1[[#This Row],[nps_category]]),0,1)</f>
        <v>1</v>
      </c>
    </row>
    <row r="207" spans="1:24" x14ac:dyDescent="0.25">
      <c r="A207" t="s">
        <v>1007</v>
      </c>
      <c r="B207" t="s">
        <v>1008</v>
      </c>
      <c r="C207" s="1">
        <v>46144</v>
      </c>
      <c r="D207" t="s">
        <v>45</v>
      </c>
      <c r="E207" t="b">
        <v>1</v>
      </c>
      <c r="F207">
        <v>1</v>
      </c>
      <c r="G207" s="2">
        <v>0.34236111111111112</v>
      </c>
      <c r="H207" t="s">
        <v>1009</v>
      </c>
      <c r="I207" t="s">
        <v>1009</v>
      </c>
      <c r="J207" t="s">
        <v>45</v>
      </c>
      <c r="K207" t="b">
        <v>1</v>
      </c>
      <c r="L207" t="b">
        <v>0</v>
      </c>
      <c r="M207">
        <v>3.2367333333333304</v>
      </c>
      <c r="N207">
        <v>5</v>
      </c>
      <c r="O207" t="s">
        <v>226</v>
      </c>
      <c r="P207">
        <v>0.16880000000000001</v>
      </c>
      <c r="Q207">
        <f>_xlfn.XLOOKUP(Table1[[#This Row],[session_id]],[1]chats_with_feedback!$A:$A,[1]chats_with_feedback!$F:$F)</f>
        <v>2</v>
      </c>
      <c r="R207">
        <f>_xlfn.XLOOKUP(Table1[[#This Row],[session_id]],[1]chats_with_feedback!$A:$A,[1]chats_with_feedback!$G:$G)</f>
        <v>3</v>
      </c>
      <c r="S207">
        <f>_xlfn.XLOOKUP(Table1[[#This Row],[session_id]],[1]chats_with_feedback!$A:$A,[1]chats_with_feedback!$J:$J)</f>
        <v>1</v>
      </c>
      <c r="T207" t="str">
        <f>_xlfn.XLOOKUP(Table1[[#This Row],[csat_score]],Sheet2!A:A,Sheet2!D:D)</f>
        <v>Baja</v>
      </c>
      <c r="U207" t="str">
        <f>_xlfn.XLOOKUP(Table1[[#This Row],[nps_score]],Sheet2!B:B,Sheet2!E:E)</f>
        <v>detractor</v>
      </c>
      <c r="V207" t="str">
        <f>_xlfn.XLOOKUP(Table1[[#This Row],[resolution_numeric]],Sheet2!C:C,Sheet2!F:F)</f>
        <v>no</v>
      </c>
      <c r="W207">
        <f>1</f>
        <v>1</v>
      </c>
      <c r="X207">
        <f>IF(ISBLANK(Table1[[#This Row],[nps_category]]),0,1)</f>
        <v>1</v>
      </c>
    </row>
    <row r="208" spans="1:24" x14ac:dyDescent="0.25">
      <c r="A208" t="s">
        <v>1010</v>
      </c>
      <c r="B208" t="s">
        <v>1011</v>
      </c>
      <c r="C208" s="1">
        <v>46144</v>
      </c>
      <c r="D208" t="s">
        <v>22</v>
      </c>
      <c r="E208" t="b">
        <v>0</v>
      </c>
      <c r="F208">
        <v>1</v>
      </c>
      <c r="G208" s="2">
        <v>0.65972222222222221</v>
      </c>
      <c r="H208" t="s">
        <v>1012</v>
      </c>
      <c r="I208" t="s">
        <v>1012</v>
      </c>
      <c r="J208" t="s">
        <v>22</v>
      </c>
      <c r="K208" t="b">
        <v>0</v>
      </c>
      <c r="L208" t="b">
        <v>0</v>
      </c>
      <c r="M208">
        <v>5.76065</v>
      </c>
      <c r="N208">
        <v>5</v>
      </c>
      <c r="O208" t="s">
        <v>1013</v>
      </c>
      <c r="P208">
        <v>0.64219999999999999</v>
      </c>
      <c r="Q208">
        <f>_xlfn.XLOOKUP(Table1[[#This Row],[session_id]],[1]chats_with_feedback!$A:$A,[1]chats_with_feedback!$F:$F)</f>
        <v>5</v>
      </c>
      <c r="R208">
        <f>_xlfn.XLOOKUP(Table1[[#This Row],[session_id]],[1]chats_with_feedback!$A:$A,[1]chats_with_feedback!$G:$G)</f>
        <v>10</v>
      </c>
      <c r="S208">
        <f>_xlfn.XLOOKUP(Table1[[#This Row],[session_id]],[1]chats_with_feedback!$A:$A,[1]chats_with_feedback!$J:$J)</f>
        <v>3</v>
      </c>
      <c r="T208" t="str">
        <f>_xlfn.XLOOKUP(Table1[[#This Row],[csat_score]],Sheet2!A:A,Sheet2!D:D)</f>
        <v>Alta</v>
      </c>
      <c r="U208" t="str">
        <f>_xlfn.XLOOKUP(Table1[[#This Row],[nps_score]],Sheet2!B:B,Sheet2!E:E)</f>
        <v>promoter</v>
      </c>
      <c r="V208" t="str">
        <f>_xlfn.XLOOKUP(Table1[[#This Row],[resolution_numeric]],Sheet2!C:C,Sheet2!F:F)</f>
        <v>yes</v>
      </c>
      <c r="W208">
        <f>1</f>
        <v>1</v>
      </c>
      <c r="X208">
        <f>IF(ISBLANK(Table1[[#This Row],[nps_category]]),0,1)</f>
        <v>1</v>
      </c>
    </row>
    <row r="209" spans="1:24" x14ac:dyDescent="0.25">
      <c r="A209" t="s">
        <v>1019</v>
      </c>
      <c r="B209" t="s">
        <v>1020</v>
      </c>
      <c r="C209" s="1">
        <v>46144</v>
      </c>
      <c r="D209" t="s">
        <v>45</v>
      </c>
      <c r="E209" t="b">
        <v>1</v>
      </c>
      <c r="F209">
        <v>1</v>
      </c>
      <c r="G209" s="2">
        <v>0.69374999999999998</v>
      </c>
      <c r="H209" t="s">
        <v>1021</v>
      </c>
      <c r="I209" t="s">
        <v>1021</v>
      </c>
      <c r="J209" t="s">
        <v>45</v>
      </c>
      <c r="K209" t="b">
        <v>1</v>
      </c>
      <c r="L209" t="b">
        <v>0</v>
      </c>
      <c r="M209">
        <v>5.997749999999999</v>
      </c>
      <c r="N209">
        <v>5</v>
      </c>
      <c r="O209" t="s">
        <v>824</v>
      </c>
      <c r="P209">
        <v>0.26279999999999998</v>
      </c>
      <c r="Q209">
        <f>_xlfn.XLOOKUP(Table1[[#This Row],[session_id]],[1]chats_with_feedback!$A:$A,[1]chats_with_feedback!$F:$F)</f>
        <v>2</v>
      </c>
      <c r="R209">
        <f>_xlfn.XLOOKUP(Table1[[#This Row],[session_id]],[1]chats_with_feedback!$A:$A,[1]chats_with_feedback!$G:$G)</f>
        <v>3</v>
      </c>
      <c r="S209">
        <f>_xlfn.XLOOKUP(Table1[[#This Row],[session_id]],[1]chats_with_feedback!$A:$A,[1]chats_with_feedback!$J:$J)</f>
        <v>1</v>
      </c>
      <c r="T209" t="str">
        <f>_xlfn.XLOOKUP(Table1[[#This Row],[csat_score]],Sheet2!A:A,Sheet2!D:D)</f>
        <v>Baja</v>
      </c>
      <c r="U209" t="str">
        <f>_xlfn.XLOOKUP(Table1[[#This Row],[nps_score]],Sheet2!B:B,Sheet2!E:E)</f>
        <v>detractor</v>
      </c>
      <c r="V209" t="str">
        <f>_xlfn.XLOOKUP(Table1[[#This Row],[resolution_numeric]],Sheet2!C:C,Sheet2!F:F)</f>
        <v>no</v>
      </c>
      <c r="W209">
        <f>1</f>
        <v>1</v>
      </c>
      <c r="X209">
        <f>IF(ISBLANK(Table1[[#This Row],[nps_category]]),0,1)</f>
        <v>1</v>
      </c>
    </row>
    <row r="210" spans="1:24" x14ac:dyDescent="0.25">
      <c r="A210" t="s">
        <v>1022</v>
      </c>
      <c r="B210" t="s">
        <v>1023</v>
      </c>
      <c r="C210" s="1">
        <v>46144</v>
      </c>
      <c r="D210" t="s">
        <v>45</v>
      </c>
      <c r="E210" t="b">
        <v>1</v>
      </c>
      <c r="F210">
        <v>1</v>
      </c>
      <c r="G210" s="2">
        <v>0.22500000000000001</v>
      </c>
      <c r="H210" t="s">
        <v>1024</v>
      </c>
      <c r="I210" t="s">
        <v>1024</v>
      </c>
      <c r="J210" t="s">
        <v>45</v>
      </c>
      <c r="K210" t="b">
        <v>1</v>
      </c>
      <c r="L210" t="b">
        <v>0</v>
      </c>
      <c r="M210">
        <v>5.5207166666666598</v>
      </c>
      <c r="N210">
        <v>5</v>
      </c>
      <c r="O210" t="s">
        <v>192</v>
      </c>
      <c r="P210">
        <v>0.2044</v>
      </c>
      <c r="Q210">
        <f>_xlfn.XLOOKUP(Table1[[#This Row],[session_id]],[1]chats_with_feedback!$A:$A,[1]chats_with_feedback!$F:$F)</f>
        <v>2</v>
      </c>
      <c r="R210">
        <f>_xlfn.XLOOKUP(Table1[[#This Row],[session_id]],[1]chats_with_feedback!$A:$A,[1]chats_with_feedback!$G:$G)</f>
        <v>3</v>
      </c>
      <c r="S210">
        <f>_xlfn.XLOOKUP(Table1[[#This Row],[session_id]],[1]chats_with_feedback!$A:$A,[1]chats_with_feedback!$J:$J)</f>
        <v>1</v>
      </c>
      <c r="T210" t="str">
        <f>_xlfn.XLOOKUP(Table1[[#This Row],[csat_score]],Sheet2!A:A,Sheet2!D:D)</f>
        <v>Baja</v>
      </c>
      <c r="U210" t="str">
        <f>_xlfn.XLOOKUP(Table1[[#This Row],[nps_score]],Sheet2!B:B,Sheet2!E:E)</f>
        <v>detractor</v>
      </c>
      <c r="V210" t="str">
        <f>_xlfn.XLOOKUP(Table1[[#This Row],[resolution_numeric]],Sheet2!C:C,Sheet2!F:F)</f>
        <v>no</v>
      </c>
      <c r="W210">
        <f>1</f>
        <v>1</v>
      </c>
      <c r="X210">
        <f>IF(ISBLANK(Table1[[#This Row],[nps_category]]),0,1)</f>
        <v>1</v>
      </c>
    </row>
    <row r="211" spans="1:24" x14ac:dyDescent="0.25">
      <c r="A211" t="s">
        <v>1037</v>
      </c>
      <c r="B211" t="s">
        <v>1038</v>
      </c>
      <c r="C211" s="1">
        <v>46144</v>
      </c>
      <c r="D211" t="s">
        <v>22</v>
      </c>
      <c r="E211" t="b">
        <v>0</v>
      </c>
      <c r="F211">
        <v>1</v>
      </c>
      <c r="G211" s="2">
        <v>0.90625</v>
      </c>
      <c r="H211" t="s">
        <v>1039</v>
      </c>
      <c r="I211" t="s">
        <v>1039</v>
      </c>
      <c r="J211" t="s">
        <v>22</v>
      </c>
      <c r="K211" t="b">
        <v>0</v>
      </c>
      <c r="L211" t="b">
        <v>0</v>
      </c>
      <c r="M211">
        <v>3.9127666666666601</v>
      </c>
      <c r="N211">
        <v>5</v>
      </c>
      <c r="O211" t="s">
        <v>1040</v>
      </c>
      <c r="P211">
        <v>0.3538</v>
      </c>
      <c r="Q211">
        <f>_xlfn.XLOOKUP(Table1[[#This Row],[session_id]],[1]chats_with_feedback!$A:$A,[1]chats_with_feedback!$F:$F)</f>
        <v>3</v>
      </c>
      <c r="R211">
        <f>_xlfn.XLOOKUP(Table1[[#This Row],[session_id]],[1]chats_with_feedback!$A:$A,[1]chats_with_feedback!$G:$G)</f>
        <v>7</v>
      </c>
      <c r="S211">
        <f>_xlfn.XLOOKUP(Table1[[#This Row],[session_id]],[1]chats_with_feedback!$A:$A,[1]chats_with_feedback!$J:$J)</f>
        <v>2</v>
      </c>
      <c r="T211" t="str">
        <f>_xlfn.XLOOKUP(Table1[[#This Row],[csat_score]],Sheet2!A:A,Sheet2!D:D)</f>
        <v>Media</v>
      </c>
      <c r="U211" t="str">
        <f>_xlfn.XLOOKUP(Table1[[#This Row],[nps_score]],Sheet2!B:B,Sheet2!E:E)</f>
        <v>passive</v>
      </c>
      <c r="V211" t="str">
        <f>_xlfn.XLOOKUP(Table1[[#This Row],[resolution_numeric]],Sheet2!C:C,Sheet2!F:F)</f>
        <v>partial</v>
      </c>
      <c r="W211">
        <f>1</f>
        <v>1</v>
      </c>
      <c r="X211">
        <f>IF(ISBLANK(Table1[[#This Row],[nps_category]]),0,1)</f>
        <v>1</v>
      </c>
    </row>
    <row r="212" spans="1:24" x14ac:dyDescent="0.25">
      <c r="A212" t="s">
        <v>1041</v>
      </c>
      <c r="B212" t="s">
        <v>1042</v>
      </c>
      <c r="C212" s="1">
        <v>46144</v>
      </c>
      <c r="D212" t="s">
        <v>45</v>
      </c>
      <c r="E212" t="b">
        <v>1</v>
      </c>
      <c r="F212">
        <v>1</v>
      </c>
      <c r="G212" s="2">
        <v>0.6166666666666667</v>
      </c>
      <c r="H212" t="s">
        <v>1043</v>
      </c>
      <c r="I212" t="s">
        <v>1043</v>
      </c>
      <c r="J212" t="s">
        <v>45</v>
      </c>
      <c r="K212" t="b">
        <v>1</v>
      </c>
      <c r="L212" t="b">
        <v>0</v>
      </c>
      <c r="M212">
        <v>4.4690833333333302</v>
      </c>
      <c r="N212">
        <v>5</v>
      </c>
      <c r="O212" t="s">
        <v>1044</v>
      </c>
      <c r="P212">
        <v>0.36580000000000001</v>
      </c>
      <c r="Q212">
        <f>_xlfn.XLOOKUP(Table1[[#This Row],[session_id]],[1]chats_with_feedback!$A:$A,[1]chats_with_feedback!$F:$F)</f>
        <v>3</v>
      </c>
      <c r="R212">
        <f>_xlfn.XLOOKUP(Table1[[#This Row],[session_id]],[1]chats_with_feedback!$A:$A,[1]chats_with_feedback!$G:$G)</f>
        <v>7</v>
      </c>
      <c r="S212">
        <f>_xlfn.XLOOKUP(Table1[[#This Row],[session_id]],[1]chats_with_feedback!$A:$A,[1]chats_with_feedback!$J:$J)</f>
        <v>2</v>
      </c>
      <c r="T212" t="str">
        <f>_xlfn.XLOOKUP(Table1[[#This Row],[csat_score]],Sheet2!A:A,Sheet2!D:D)</f>
        <v>Media</v>
      </c>
      <c r="U212" t="str">
        <f>_xlfn.XLOOKUP(Table1[[#This Row],[nps_score]],Sheet2!B:B,Sheet2!E:E)</f>
        <v>passive</v>
      </c>
      <c r="V212" t="str">
        <f>_xlfn.XLOOKUP(Table1[[#This Row],[resolution_numeric]],Sheet2!C:C,Sheet2!F:F)</f>
        <v>partial</v>
      </c>
      <c r="W212">
        <f>1</f>
        <v>1</v>
      </c>
      <c r="X212">
        <f>IF(ISBLANK(Table1[[#This Row],[nps_category]]),0,1)</f>
        <v>1</v>
      </c>
    </row>
    <row r="213" spans="1:24" x14ac:dyDescent="0.25">
      <c r="A213" t="s">
        <v>1045</v>
      </c>
      <c r="B213" t="s">
        <v>1046</v>
      </c>
      <c r="C213" s="1">
        <v>46144</v>
      </c>
      <c r="D213" t="s">
        <v>22</v>
      </c>
      <c r="E213" t="b">
        <v>0</v>
      </c>
      <c r="F213">
        <v>1</v>
      </c>
      <c r="G213" s="2">
        <v>0.55347222222222225</v>
      </c>
      <c r="H213" t="s">
        <v>1047</v>
      </c>
      <c r="I213" t="s">
        <v>1047</v>
      </c>
      <c r="J213" t="s">
        <v>22</v>
      </c>
      <c r="K213" t="b">
        <v>0</v>
      </c>
      <c r="L213" t="b">
        <v>0</v>
      </c>
      <c r="M213">
        <v>5.31863333333333</v>
      </c>
      <c r="N213">
        <v>5</v>
      </c>
      <c r="O213" t="s">
        <v>1048</v>
      </c>
      <c r="P213">
        <v>0.64980000000000004</v>
      </c>
      <c r="Q213">
        <f>_xlfn.XLOOKUP(Table1[[#This Row],[session_id]],[1]chats_with_feedback!$A:$A,[1]chats_with_feedback!$F:$F)</f>
        <v>5</v>
      </c>
      <c r="R213">
        <f>_xlfn.XLOOKUP(Table1[[#This Row],[session_id]],[1]chats_with_feedback!$A:$A,[1]chats_with_feedback!$G:$G)</f>
        <v>10</v>
      </c>
      <c r="S213">
        <f>_xlfn.XLOOKUP(Table1[[#This Row],[session_id]],[1]chats_with_feedback!$A:$A,[1]chats_with_feedback!$J:$J)</f>
        <v>3</v>
      </c>
      <c r="T213" t="str">
        <f>_xlfn.XLOOKUP(Table1[[#This Row],[csat_score]],Sheet2!A:A,Sheet2!D:D)</f>
        <v>Alta</v>
      </c>
      <c r="U213" t="str">
        <f>_xlfn.XLOOKUP(Table1[[#This Row],[nps_score]],Sheet2!B:B,Sheet2!E:E)</f>
        <v>promoter</v>
      </c>
      <c r="V213" t="str">
        <f>_xlfn.XLOOKUP(Table1[[#This Row],[resolution_numeric]],Sheet2!C:C,Sheet2!F:F)</f>
        <v>yes</v>
      </c>
      <c r="W213">
        <f>1</f>
        <v>1</v>
      </c>
      <c r="X213">
        <f>IF(ISBLANK(Table1[[#This Row],[nps_category]]),0,1)</f>
        <v>1</v>
      </c>
    </row>
    <row r="214" spans="1:24" x14ac:dyDescent="0.25">
      <c r="A214" t="s">
        <v>1052</v>
      </c>
      <c r="B214" t="s">
        <v>1053</v>
      </c>
      <c r="C214" s="1">
        <v>46144</v>
      </c>
      <c r="D214" t="s">
        <v>45</v>
      </c>
      <c r="E214" t="b">
        <v>1</v>
      </c>
      <c r="F214">
        <v>1</v>
      </c>
      <c r="G214" s="2">
        <v>0.57013888888888886</v>
      </c>
      <c r="H214" t="s">
        <v>1054</v>
      </c>
      <c r="I214" t="s">
        <v>1054</v>
      </c>
      <c r="J214" t="s">
        <v>45</v>
      </c>
      <c r="K214" t="b">
        <v>1</v>
      </c>
      <c r="L214" t="b">
        <v>0</v>
      </c>
      <c r="M214">
        <v>5.2490666666666606</v>
      </c>
      <c r="N214">
        <v>5</v>
      </c>
      <c r="O214" t="s">
        <v>1055</v>
      </c>
      <c r="P214">
        <v>0.35880000000000001</v>
      </c>
      <c r="Q214">
        <f>_xlfn.XLOOKUP(Table1[[#This Row],[session_id]],[1]chats_with_feedback!$A:$A,[1]chats_with_feedback!$F:$F)</f>
        <v>3</v>
      </c>
      <c r="R214">
        <f>_xlfn.XLOOKUP(Table1[[#This Row],[session_id]],[1]chats_with_feedback!$A:$A,[1]chats_with_feedback!$G:$G)</f>
        <v>7</v>
      </c>
      <c r="S214">
        <f>_xlfn.XLOOKUP(Table1[[#This Row],[session_id]],[1]chats_with_feedback!$A:$A,[1]chats_with_feedback!$J:$J)</f>
        <v>2</v>
      </c>
      <c r="T214" t="str">
        <f>_xlfn.XLOOKUP(Table1[[#This Row],[csat_score]],Sheet2!A:A,Sheet2!D:D)</f>
        <v>Media</v>
      </c>
      <c r="U214" t="str">
        <f>_xlfn.XLOOKUP(Table1[[#This Row],[nps_score]],Sheet2!B:B,Sheet2!E:E)</f>
        <v>passive</v>
      </c>
      <c r="V214" t="str">
        <f>_xlfn.XLOOKUP(Table1[[#This Row],[resolution_numeric]],Sheet2!C:C,Sheet2!F:F)</f>
        <v>partial</v>
      </c>
      <c r="W214">
        <f>1</f>
        <v>1</v>
      </c>
      <c r="X214">
        <f>IF(ISBLANK(Table1[[#This Row],[nps_category]]),0,1)</f>
        <v>1</v>
      </c>
    </row>
    <row r="215" spans="1:24" x14ac:dyDescent="0.25">
      <c r="A215" t="s">
        <v>1059</v>
      </c>
      <c r="B215" t="s">
        <v>1060</v>
      </c>
      <c r="C215" s="1">
        <v>46144</v>
      </c>
      <c r="D215" t="s">
        <v>45</v>
      </c>
      <c r="E215" t="b">
        <v>1</v>
      </c>
      <c r="F215">
        <v>1</v>
      </c>
      <c r="G215" s="2">
        <v>0.35416666666666669</v>
      </c>
      <c r="H215" t="s">
        <v>1061</v>
      </c>
      <c r="I215" t="s">
        <v>1061</v>
      </c>
      <c r="J215" t="s">
        <v>45</v>
      </c>
      <c r="K215" t="b">
        <v>1</v>
      </c>
      <c r="L215" t="b">
        <v>0</v>
      </c>
      <c r="M215">
        <v>4.9783333333333299</v>
      </c>
      <c r="N215">
        <v>5</v>
      </c>
      <c r="O215" t="s">
        <v>1062</v>
      </c>
      <c r="P215">
        <v>0.2374</v>
      </c>
      <c r="Q215">
        <f>_xlfn.XLOOKUP(Table1[[#This Row],[session_id]],[1]chats_with_feedback!$A:$A,[1]chats_with_feedback!$F:$F)</f>
        <v>2</v>
      </c>
      <c r="R215">
        <f>_xlfn.XLOOKUP(Table1[[#This Row],[session_id]],[1]chats_with_feedback!$A:$A,[1]chats_with_feedback!$G:$G)</f>
        <v>3</v>
      </c>
      <c r="S215">
        <f>_xlfn.XLOOKUP(Table1[[#This Row],[session_id]],[1]chats_with_feedback!$A:$A,[1]chats_with_feedback!$J:$J)</f>
        <v>1</v>
      </c>
      <c r="T215" t="str">
        <f>_xlfn.XLOOKUP(Table1[[#This Row],[csat_score]],Sheet2!A:A,Sheet2!D:D)</f>
        <v>Baja</v>
      </c>
      <c r="U215" t="str">
        <f>_xlfn.XLOOKUP(Table1[[#This Row],[nps_score]],Sheet2!B:B,Sheet2!E:E)</f>
        <v>detractor</v>
      </c>
      <c r="V215" t="str">
        <f>_xlfn.XLOOKUP(Table1[[#This Row],[resolution_numeric]],Sheet2!C:C,Sheet2!F:F)</f>
        <v>no</v>
      </c>
      <c r="W215">
        <f>1</f>
        <v>1</v>
      </c>
      <c r="X215">
        <f>IF(ISBLANK(Table1[[#This Row],[nps_category]]),0,1)</f>
        <v>1</v>
      </c>
    </row>
    <row r="216" spans="1:24" x14ac:dyDescent="0.25">
      <c r="A216" t="s">
        <v>1070</v>
      </c>
      <c r="B216" t="s">
        <v>1071</v>
      </c>
      <c r="C216" s="1">
        <v>46144</v>
      </c>
      <c r="D216" t="s">
        <v>45</v>
      </c>
      <c r="E216" t="b">
        <v>1</v>
      </c>
      <c r="F216">
        <v>1</v>
      </c>
      <c r="G216" s="2">
        <v>0.82361111111111107</v>
      </c>
      <c r="H216" t="s">
        <v>1072</v>
      </c>
      <c r="I216" t="s">
        <v>1072</v>
      </c>
      <c r="J216" t="s">
        <v>45</v>
      </c>
      <c r="K216" t="b">
        <v>1</v>
      </c>
      <c r="L216" t="b">
        <v>0</v>
      </c>
      <c r="M216">
        <v>4.2330666666666605</v>
      </c>
      <c r="N216">
        <v>5</v>
      </c>
      <c r="O216" t="s">
        <v>95</v>
      </c>
      <c r="P216">
        <v>0.81369999999999998</v>
      </c>
      <c r="Q216">
        <f>_xlfn.XLOOKUP(Table1[[#This Row],[session_id]],[1]chats_with_feedback!$A:$A,[1]chats_with_feedback!$F:$F)</f>
        <v>5</v>
      </c>
      <c r="R216">
        <f>_xlfn.XLOOKUP(Table1[[#This Row],[session_id]],[1]chats_with_feedback!$A:$A,[1]chats_with_feedback!$G:$G)</f>
        <v>10</v>
      </c>
      <c r="S216">
        <f>_xlfn.XLOOKUP(Table1[[#This Row],[session_id]],[1]chats_with_feedback!$A:$A,[1]chats_with_feedback!$J:$J)</f>
        <v>3</v>
      </c>
      <c r="T216" t="str">
        <f>_xlfn.XLOOKUP(Table1[[#This Row],[csat_score]],Sheet2!A:A,Sheet2!D:D)</f>
        <v>Alta</v>
      </c>
      <c r="U216" t="str">
        <f>_xlfn.XLOOKUP(Table1[[#This Row],[nps_score]],Sheet2!B:B,Sheet2!E:E)</f>
        <v>promoter</v>
      </c>
      <c r="V216" t="str">
        <f>_xlfn.XLOOKUP(Table1[[#This Row],[resolution_numeric]],Sheet2!C:C,Sheet2!F:F)</f>
        <v>yes</v>
      </c>
      <c r="W216">
        <f>1</f>
        <v>1</v>
      </c>
      <c r="X216">
        <f>IF(ISBLANK(Table1[[#This Row],[nps_category]]),0,1)</f>
        <v>1</v>
      </c>
    </row>
    <row r="217" spans="1:24" x14ac:dyDescent="0.25">
      <c r="A217" t="s">
        <v>1080</v>
      </c>
      <c r="B217" t="s">
        <v>1081</v>
      </c>
      <c r="C217" s="1">
        <v>46144</v>
      </c>
      <c r="D217" t="s">
        <v>45</v>
      </c>
      <c r="E217" t="b">
        <v>1</v>
      </c>
      <c r="F217">
        <v>1</v>
      </c>
      <c r="G217" s="2">
        <v>0.43888888888888888</v>
      </c>
      <c r="H217" t="s">
        <v>1082</v>
      </c>
      <c r="I217" t="s">
        <v>1082</v>
      </c>
      <c r="J217" t="s">
        <v>45</v>
      </c>
      <c r="K217" t="b">
        <v>1</v>
      </c>
      <c r="L217" t="b">
        <v>0</v>
      </c>
      <c r="M217">
        <v>3.9781833333333299</v>
      </c>
      <c r="N217">
        <v>5</v>
      </c>
      <c r="O217" t="s">
        <v>24</v>
      </c>
      <c r="P217">
        <v>0.2422</v>
      </c>
      <c r="Q217">
        <f>_xlfn.XLOOKUP(Table1[[#This Row],[session_id]],[1]chats_with_feedback!$A:$A,[1]chats_with_feedback!$F:$F)</f>
        <v>2</v>
      </c>
      <c r="R217">
        <f>_xlfn.XLOOKUP(Table1[[#This Row],[session_id]],[1]chats_with_feedback!$A:$A,[1]chats_with_feedback!$G:$G)</f>
        <v>3</v>
      </c>
      <c r="S217">
        <f>_xlfn.XLOOKUP(Table1[[#This Row],[session_id]],[1]chats_with_feedback!$A:$A,[1]chats_with_feedback!$J:$J)</f>
        <v>1</v>
      </c>
      <c r="T217" t="str">
        <f>_xlfn.XLOOKUP(Table1[[#This Row],[csat_score]],Sheet2!A:A,Sheet2!D:D)</f>
        <v>Baja</v>
      </c>
      <c r="U217" t="str">
        <f>_xlfn.XLOOKUP(Table1[[#This Row],[nps_score]],Sheet2!B:B,Sheet2!E:E)</f>
        <v>detractor</v>
      </c>
      <c r="V217" t="str">
        <f>_xlfn.XLOOKUP(Table1[[#This Row],[resolution_numeric]],Sheet2!C:C,Sheet2!F:F)</f>
        <v>no</v>
      </c>
      <c r="W217">
        <f>1</f>
        <v>1</v>
      </c>
      <c r="X217">
        <f>IF(ISBLANK(Table1[[#This Row],[nps_category]]),0,1)</f>
        <v>1</v>
      </c>
    </row>
    <row r="218" spans="1:24" x14ac:dyDescent="0.25">
      <c r="A218" t="s">
        <v>1086</v>
      </c>
      <c r="B218" t="s">
        <v>1087</v>
      </c>
      <c r="C218" s="1">
        <v>46144</v>
      </c>
      <c r="D218" t="s">
        <v>22</v>
      </c>
      <c r="E218" t="b">
        <v>0</v>
      </c>
      <c r="F218">
        <v>1</v>
      </c>
      <c r="G218" s="2">
        <v>0.74375000000000002</v>
      </c>
      <c r="H218" t="s">
        <v>1088</v>
      </c>
      <c r="I218" t="s">
        <v>1088</v>
      </c>
      <c r="J218" t="s">
        <v>22</v>
      </c>
      <c r="K218" t="b">
        <v>0</v>
      </c>
      <c r="L218" t="b">
        <v>0</v>
      </c>
      <c r="M218">
        <v>4.4175166666666597</v>
      </c>
      <c r="N218">
        <v>5</v>
      </c>
      <c r="O218" t="s">
        <v>636</v>
      </c>
      <c r="P218">
        <v>0.32279999999999998</v>
      </c>
      <c r="Q218">
        <f>_xlfn.XLOOKUP(Table1[[#This Row],[session_id]],[1]chats_with_feedback!$A:$A,[1]chats_with_feedback!$F:$F)</f>
        <v>3</v>
      </c>
      <c r="R218">
        <f>_xlfn.XLOOKUP(Table1[[#This Row],[session_id]],[1]chats_with_feedback!$A:$A,[1]chats_with_feedback!$G:$G)</f>
        <v>7</v>
      </c>
      <c r="S218">
        <f>_xlfn.XLOOKUP(Table1[[#This Row],[session_id]],[1]chats_with_feedback!$A:$A,[1]chats_with_feedback!$J:$J)</f>
        <v>2</v>
      </c>
      <c r="T218" t="str">
        <f>_xlfn.XLOOKUP(Table1[[#This Row],[csat_score]],Sheet2!A:A,Sheet2!D:D)</f>
        <v>Media</v>
      </c>
      <c r="U218" t="str">
        <f>_xlfn.XLOOKUP(Table1[[#This Row],[nps_score]],Sheet2!B:B,Sheet2!E:E)</f>
        <v>passive</v>
      </c>
      <c r="V218" t="str">
        <f>_xlfn.XLOOKUP(Table1[[#This Row],[resolution_numeric]],Sheet2!C:C,Sheet2!F:F)</f>
        <v>partial</v>
      </c>
      <c r="W218">
        <f>1</f>
        <v>1</v>
      </c>
      <c r="X218">
        <f>IF(ISBLANK(Table1[[#This Row],[nps_category]]),0,1)</f>
        <v>1</v>
      </c>
    </row>
    <row r="219" spans="1:24" x14ac:dyDescent="0.25">
      <c r="A219" t="s">
        <v>1089</v>
      </c>
      <c r="B219" t="s">
        <v>1090</v>
      </c>
      <c r="C219" s="1">
        <v>46144</v>
      </c>
      <c r="D219" t="s">
        <v>22</v>
      </c>
      <c r="E219" t="b">
        <v>0</v>
      </c>
      <c r="F219">
        <v>1</v>
      </c>
      <c r="G219" s="2">
        <v>0.51180555555555551</v>
      </c>
      <c r="H219" t="s">
        <v>1091</v>
      </c>
      <c r="I219" t="s">
        <v>1091</v>
      </c>
      <c r="J219" t="s">
        <v>22</v>
      </c>
      <c r="K219" t="b">
        <v>0</v>
      </c>
      <c r="L219" t="b">
        <v>0</v>
      </c>
      <c r="M219">
        <v>5.0299666666666605</v>
      </c>
      <c r="N219">
        <v>5</v>
      </c>
      <c r="O219" t="s">
        <v>1092</v>
      </c>
      <c r="P219">
        <v>0.51990000000000003</v>
      </c>
      <c r="Q219">
        <f>_xlfn.XLOOKUP(Table1[[#This Row],[session_id]],[1]chats_with_feedback!$A:$A,[1]chats_with_feedback!$F:$F)</f>
        <v>5</v>
      </c>
      <c r="R219">
        <f>_xlfn.XLOOKUP(Table1[[#This Row],[session_id]],[1]chats_with_feedback!$A:$A,[1]chats_with_feedback!$G:$G)</f>
        <v>10</v>
      </c>
      <c r="S219">
        <f>_xlfn.XLOOKUP(Table1[[#This Row],[session_id]],[1]chats_with_feedback!$A:$A,[1]chats_with_feedback!$J:$J)</f>
        <v>3</v>
      </c>
      <c r="T219" t="str">
        <f>_xlfn.XLOOKUP(Table1[[#This Row],[csat_score]],Sheet2!A:A,Sheet2!D:D)</f>
        <v>Alta</v>
      </c>
      <c r="U219" t="str">
        <f>_xlfn.XLOOKUP(Table1[[#This Row],[nps_score]],Sheet2!B:B,Sheet2!E:E)</f>
        <v>promoter</v>
      </c>
      <c r="V219" t="str">
        <f>_xlfn.XLOOKUP(Table1[[#This Row],[resolution_numeric]],Sheet2!C:C,Sheet2!F:F)</f>
        <v>yes</v>
      </c>
      <c r="W219">
        <f>1</f>
        <v>1</v>
      </c>
      <c r="X219">
        <f>IF(ISBLANK(Table1[[#This Row],[nps_category]]),0,1)</f>
        <v>1</v>
      </c>
    </row>
    <row r="220" spans="1:24" x14ac:dyDescent="0.25">
      <c r="A220" t="s">
        <v>1093</v>
      </c>
      <c r="B220" t="s">
        <v>1094</v>
      </c>
      <c r="C220" s="1">
        <v>46144</v>
      </c>
      <c r="D220" t="s">
        <v>22</v>
      </c>
      <c r="E220" t="b">
        <v>0</v>
      </c>
      <c r="F220">
        <v>1</v>
      </c>
      <c r="G220" s="2">
        <v>0.63124999999999998</v>
      </c>
      <c r="H220" t="s">
        <v>1095</v>
      </c>
      <c r="I220" t="s">
        <v>1095</v>
      </c>
      <c r="J220" t="s">
        <v>22</v>
      </c>
      <c r="K220" t="b">
        <v>0</v>
      </c>
      <c r="L220" t="b">
        <v>0</v>
      </c>
      <c r="M220">
        <v>4.1581333333333301</v>
      </c>
      <c r="N220">
        <v>5</v>
      </c>
      <c r="O220" t="s">
        <v>1096</v>
      </c>
      <c r="P220">
        <v>0.35959999999999998</v>
      </c>
      <c r="Q220">
        <f>_xlfn.XLOOKUP(Table1[[#This Row],[session_id]],[1]chats_with_feedback!$A:$A,[1]chats_with_feedback!$F:$F)</f>
        <v>3</v>
      </c>
      <c r="R220">
        <f>_xlfn.XLOOKUP(Table1[[#This Row],[session_id]],[1]chats_with_feedback!$A:$A,[1]chats_with_feedback!$G:$G)</f>
        <v>7</v>
      </c>
      <c r="S220">
        <f>_xlfn.XLOOKUP(Table1[[#This Row],[session_id]],[1]chats_with_feedback!$A:$A,[1]chats_with_feedback!$J:$J)</f>
        <v>2</v>
      </c>
      <c r="T220" t="str">
        <f>_xlfn.XLOOKUP(Table1[[#This Row],[csat_score]],Sheet2!A:A,Sheet2!D:D)</f>
        <v>Media</v>
      </c>
      <c r="U220" t="str">
        <f>_xlfn.XLOOKUP(Table1[[#This Row],[nps_score]],Sheet2!B:B,Sheet2!E:E)</f>
        <v>passive</v>
      </c>
      <c r="V220" t="str">
        <f>_xlfn.XLOOKUP(Table1[[#This Row],[resolution_numeric]],Sheet2!C:C,Sheet2!F:F)</f>
        <v>partial</v>
      </c>
      <c r="W220">
        <f>1</f>
        <v>1</v>
      </c>
      <c r="X220">
        <f>IF(ISBLANK(Table1[[#This Row],[nps_category]]),0,1)</f>
        <v>1</v>
      </c>
    </row>
    <row r="221" spans="1:24" x14ac:dyDescent="0.25">
      <c r="A221" t="s">
        <v>1099</v>
      </c>
      <c r="B221" t="s">
        <v>1100</v>
      </c>
      <c r="C221" s="1">
        <v>46144</v>
      </c>
      <c r="D221" t="s">
        <v>45</v>
      </c>
      <c r="E221" t="b">
        <v>1</v>
      </c>
      <c r="F221">
        <v>1</v>
      </c>
      <c r="G221" s="2">
        <v>0.83680555555555558</v>
      </c>
      <c r="H221" t="s">
        <v>1101</v>
      </c>
      <c r="I221" t="s">
        <v>1101</v>
      </c>
      <c r="J221" t="s">
        <v>45</v>
      </c>
      <c r="K221" t="b">
        <v>1</v>
      </c>
      <c r="L221" t="b">
        <v>0</v>
      </c>
      <c r="M221">
        <v>5.9605999999999995</v>
      </c>
      <c r="N221">
        <v>5</v>
      </c>
      <c r="O221" t="s">
        <v>113</v>
      </c>
      <c r="P221">
        <v>0.76929999999999998</v>
      </c>
      <c r="Q221">
        <f>_xlfn.XLOOKUP(Table1[[#This Row],[session_id]],[1]chats_with_feedback!$A:$A,[1]chats_with_feedback!$F:$F)</f>
        <v>5</v>
      </c>
      <c r="R221">
        <f>_xlfn.XLOOKUP(Table1[[#This Row],[session_id]],[1]chats_with_feedback!$A:$A,[1]chats_with_feedback!$G:$G)</f>
        <v>10</v>
      </c>
      <c r="S221">
        <f>_xlfn.XLOOKUP(Table1[[#This Row],[session_id]],[1]chats_with_feedback!$A:$A,[1]chats_with_feedback!$J:$J)</f>
        <v>3</v>
      </c>
      <c r="T221" t="str">
        <f>_xlfn.XLOOKUP(Table1[[#This Row],[csat_score]],Sheet2!A:A,Sheet2!D:D)</f>
        <v>Alta</v>
      </c>
      <c r="U221" t="str">
        <f>_xlfn.XLOOKUP(Table1[[#This Row],[nps_score]],Sheet2!B:B,Sheet2!E:E)</f>
        <v>promoter</v>
      </c>
      <c r="V221" t="str">
        <f>_xlfn.XLOOKUP(Table1[[#This Row],[resolution_numeric]],Sheet2!C:C,Sheet2!F:F)</f>
        <v>yes</v>
      </c>
      <c r="W221">
        <f>1</f>
        <v>1</v>
      </c>
      <c r="X221">
        <f>IF(ISBLANK(Table1[[#This Row],[nps_category]]),0,1)</f>
        <v>1</v>
      </c>
    </row>
    <row r="222" spans="1:24" x14ac:dyDescent="0.25">
      <c r="A222" t="s">
        <v>1102</v>
      </c>
      <c r="B222" t="s">
        <v>1103</v>
      </c>
      <c r="C222" s="1">
        <v>46144</v>
      </c>
      <c r="D222" t="s">
        <v>22</v>
      </c>
      <c r="E222" t="b">
        <v>0</v>
      </c>
      <c r="F222">
        <v>1</v>
      </c>
      <c r="G222" s="2">
        <v>0.36249999999999999</v>
      </c>
      <c r="H222" t="s">
        <v>1104</v>
      </c>
      <c r="I222" t="s">
        <v>1104</v>
      </c>
      <c r="J222" t="s">
        <v>22</v>
      </c>
      <c r="K222" t="b">
        <v>0</v>
      </c>
      <c r="L222" t="b">
        <v>0</v>
      </c>
      <c r="M222">
        <v>8.4273666666666607</v>
      </c>
      <c r="N222">
        <v>5</v>
      </c>
      <c r="O222" t="s">
        <v>1105</v>
      </c>
      <c r="P222">
        <v>0.373</v>
      </c>
      <c r="Q222">
        <f>_xlfn.XLOOKUP(Table1[[#This Row],[session_id]],[1]chats_with_feedback!$A:$A,[1]chats_with_feedback!$F:$F)</f>
        <v>3</v>
      </c>
      <c r="R222">
        <f>_xlfn.XLOOKUP(Table1[[#This Row],[session_id]],[1]chats_with_feedback!$A:$A,[1]chats_with_feedback!$G:$G)</f>
        <v>7</v>
      </c>
      <c r="S222">
        <f>_xlfn.XLOOKUP(Table1[[#This Row],[session_id]],[1]chats_with_feedback!$A:$A,[1]chats_with_feedback!$J:$J)</f>
        <v>2</v>
      </c>
      <c r="T222" t="str">
        <f>_xlfn.XLOOKUP(Table1[[#This Row],[csat_score]],Sheet2!A:A,Sheet2!D:D)</f>
        <v>Media</v>
      </c>
      <c r="U222" t="str">
        <f>_xlfn.XLOOKUP(Table1[[#This Row],[nps_score]],Sheet2!B:B,Sheet2!E:E)</f>
        <v>passive</v>
      </c>
      <c r="V222" t="str">
        <f>_xlfn.XLOOKUP(Table1[[#This Row],[resolution_numeric]],Sheet2!C:C,Sheet2!F:F)</f>
        <v>partial</v>
      </c>
      <c r="W222">
        <f>1</f>
        <v>1</v>
      </c>
      <c r="X222">
        <f>IF(ISBLANK(Table1[[#This Row],[nps_category]]),0,1)</f>
        <v>1</v>
      </c>
    </row>
    <row r="223" spans="1:24" x14ac:dyDescent="0.25">
      <c r="A223" t="s">
        <v>1112</v>
      </c>
      <c r="B223" t="s">
        <v>1113</v>
      </c>
      <c r="C223" s="1">
        <v>46144</v>
      </c>
      <c r="D223" t="s">
        <v>45</v>
      </c>
      <c r="E223" t="b">
        <v>1</v>
      </c>
      <c r="F223">
        <v>1</v>
      </c>
      <c r="G223" s="2">
        <v>0.49791666666666667</v>
      </c>
      <c r="H223" t="s">
        <v>1114</v>
      </c>
      <c r="I223" t="s">
        <v>1114</v>
      </c>
      <c r="J223" t="s">
        <v>45</v>
      </c>
      <c r="K223" t="b">
        <v>1</v>
      </c>
      <c r="L223" t="b">
        <v>0</v>
      </c>
      <c r="M223">
        <v>7.3962666666666594</v>
      </c>
      <c r="N223">
        <v>5</v>
      </c>
      <c r="O223" t="s">
        <v>1115</v>
      </c>
      <c r="P223">
        <v>0.50629999999999997</v>
      </c>
      <c r="Q223">
        <f>_xlfn.XLOOKUP(Table1[[#This Row],[session_id]],[1]chats_with_feedback!$A:$A,[1]chats_with_feedback!$F:$F)</f>
        <v>5</v>
      </c>
      <c r="R223">
        <f>_xlfn.XLOOKUP(Table1[[#This Row],[session_id]],[1]chats_with_feedback!$A:$A,[1]chats_with_feedback!$G:$G)</f>
        <v>10</v>
      </c>
      <c r="S223">
        <f>_xlfn.XLOOKUP(Table1[[#This Row],[session_id]],[1]chats_with_feedback!$A:$A,[1]chats_with_feedback!$J:$J)</f>
        <v>3</v>
      </c>
      <c r="T223" t="str">
        <f>_xlfn.XLOOKUP(Table1[[#This Row],[csat_score]],Sheet2!A:A,Sheet2!D:D)</f>
        <v>Alta</v>
      </c>
      <c r="U223" t="str">
        <f>_xlfn.XLOOKUP(Table1[[#This Row],[nps_score]],Sheet2!B:B,Sheet2!E:E)</f>
        <v>promoter</v>
      </c>
      <c r="V223" t="str">
        <f>_xlfn.XLOOKUP(Table1[[#This Row],[resolution_numeric]],Sheet2!C:C,Sheet2!F:F)</f>
        <v>yes</v>
      </c>
      <c r="W223">
        <f>1</f>
        <v>1</v>
      </c>
      <c r="X223">
        <f>IF(ISBLANK(Table1[[#This Row],[nps_category]]),0,1)</f>
        <v>1</v>
      </c>
    </row>
    <row r="224" spans="1:24" x14ac:dyDescent="0.25">
      <c r="A224" t="s">
        <v>1119</v>
      </c>
      <c r="B224" t="s">
        <v>1120</v>
      </c>
      <c r="C224" s="1">
        <v>46144</v>
      </c>
      <c r="D224" t="s">
        <v>45</v>
      </c>
      <c r="E224" t="b">
        <v>1</v>
      </c>
      <c r="F224">
        <v>1</v>
      </c>
      <c r="G224" s="2">
        <v>0.97916666666666663</v>
      </c>
      <c r="H224" t="s">
        <v>1121</v>
      </c>
      <c r="I224" t="s">
        <v>1121</v>
      </c>
      <c r="J224" t="s">
        <v>45</v>
      </c>
      <c r="K224" t="b">
        <v>1</v>
      </c>
      <c r="L224" t="b">
        <v>0</v>
      </c>
      <c r="M224">
        <v>10.23725</v>
      </c>
      <c r="N224">
        <v>5</v>
      </c>
      <c r="O224" t="s">
        <v>99</v>
      </c>
      <c r="P224">
        <v>0.27360000000000001</v>
      </c>
      <c r="Q224">
        <f>_xlfn.XLOOKUP(Table1[[#This Row],[session_id]],[1]chats_with_feedback!$A:$A,[1]chats_with_feedback!$F:$F)</f>
        <v>2</v>
      </c>
      <c r="R224">
        <f>_xlfn.XLOOKUP(Table1[[#This Row],[session_id]],[1]chats_with_feedback!$A:$A,[1]chats_with_feedback!$G:$G)</f>
        <v>3</v>
      </c>
      <c r="S224">
        <f>_xlfn.XLOOKUP(Table1[[#This Row],[session_id]],[1]chats_with_feedback!$A:$A,[1]chats_with_feedback!$J:$J)</f>
        <v>1</v>
      </c>
      <c r="T224" t="str">
        <f>_xlfn.XLOOKUP(Table1[[#This Row],[csat_score]],Sheet2!A:A,Sheet2!D:D)</f>
        <v>Baja</v>
      </c>
      <c r="U224" t="str">
        <f>_xlfn.XLOOKUP(Table1[[#This Row],[nps_score]],Sheet2!B:B,Sheet2!E:E)</f>
        <v>detractor</v>
      </c>
      <c r="V224" t="str">
        <f>_xlfn.XLOOKUP(Table1[[#This Row],[resolution_numeric]],Sheet2!C:C,Sheet2!F:F)</f>
        <v>no</v>
      </c>
      <c r="W224">
        <f>1</f>
        <v>1</v>
      </c>
      <c r="X224">
        <f>IF(ISBLANK(Table1[[#This Row],[nps_category]]),0,1)</f>
        <v>1</v>
      </c>
    </row>
    <row r="225" spans="1:24" x14ac:dyDescent="0.25">
      <c r="A225" t="s">
        <v>1126</v>
      </c>
      <c r="B225" t="s">
        <v>1127</v>
      </c>
      <c r="C225" s="1">
        <v>46144</v>
      </c>
      <c r="D225" t="s">
        <v>45</v>
      </c>
      <c r="E225" t="b">
        <v>1</v>
      </c>
      <c r="F225">
        <v>1</v>
      </c>
      <c r="G225" s="2">
        <v>0.81319444444444444</v>
      </c>
      <c r="H225" t="s">
        <v>1128</v>
      </c>
      <c r="I225" t="s">
        <v>1128</v>
      </c>
      <c r="J225" t="s">
        <v>45</v>
      </c>
      <c r="K225" t="b">
        <v>1</v>
      </c>
      <c r="L225" t="b">
        <v>0</v>
      </c>
      <c r="M225">
        <v>7.9631500000000006</v>
      </c>
      <c r="N225">
        <v>5</v>
      </c>
      <c r="O225" t="s">
        <v>95</v>
      </c>
      <c r="P225">
        <v>0.81369999999999998</v>
      </c>
      <c r="Q225">
        <f>_xlfn.XLOOKUP(Table1[[#This Row],[session_id]],[1]chats_with_feedback!$A:$A,[1]chats_with_feedback!$F:$F)</f>
        <v>5</v>
      </c>
      <c r="R225">
        <f>_xlfn.XLOOKUP(Table1[[#This Row],[session_id]],[1]chats_with_feedback!$A:$A,[1]chats_with_feedback!$G:$G)</f>
        <v>10</v>
      </c>
      <c r="S225">
        <f>_xlfn.XLOOKUP(Table1[[#This Row],[session_id]],[1]chats_with_feedback!$A:$A,[1]chats_with_feedback!$J:$J)</f>
        <v>3</v>
      </c>
      <c r="T225" t="str">
        <f>_xlfn.XLOOKUP(Table1[[#This Row],[csat_score]],Sheet2!A:A,Sheet2!D:D)</f>
        <v>Alta</v>
      </c>
      <c r="U225" t="str">
        <f>_xlfn.XLOOKUP(Table1[[#This Row],[nps_score]],Sheet2!B:B,Sheet2!E:E)</f>
        <v>promoter</v>
      </c>
      <c r="V225" t="str">
        <f>_xlfn.XLOOKUP(Table1[[#This Row],[resolution_numeric]],Sheet2!C:C,Sheet2!F:F)</f>
        <v>yes</v>
      </c>
      <c r="W225">
        <f>1</f>
        <v>1</v>
      </c>
      <c r="X225">
        <f>IF(ISBLANK(Table1[[#This Row],[nps_category]]),0,1)</f>
        <v>1</v>
      </c>
    </row>
    <row r="226" spans="1:24" x14ac:dyDescent="0.25">
      <c r="A226" t="s">
        <v>48</v>
      </c>
      <c r="B226" t="s">
        <v>49</v>
      </c>
      <c r="C226" s="1">
        <v>46145</v>
      </c>
      <c r="D226" t="s">
        <v>22</v>
      </c>
      <c r="E226" t="b">
        <v>0</v>
      </c>
      <c r="F226">
        <v>1</v>
      </c>
      <c r="G226" s="2">
        <v>0.39930555555555558</v>
      </c>
      <c r="H226" t="s">
        <v>50</v>
      </c>
      <c r="I226" t="s">
        <v>50</v>
      </c>
      <c r="J226" t="s">
        <v>22</v>
      </c>
      <c r="K226" t="b">
        <v>0</v>
      </c>
      <c r="L226" t="b">
        <v>0</v>
      </c>
      <c r="M226">
        <v>2.8752833333333299</v>
      </c>
      <c r="N226">
        <v>5</v>
      </c>
      <c r="O226" t="s">
        <v>51</v>
      </c>
      <c r="P226">
        <v>0.44290000000000002</v>
      </c>
      <c r="Q226">
        <f>_xlfn.XLOOKUP(Table1[[#This Row],[session_id]],[1]chats_with_feedback!$A:$A,[1]chats_with_feedback!$F:$F)</f>
        <v>5</v>
      </c>
      <c r="R226">
        <f>_xlfn.XLOOKUP(Table1[[#This Row],[session_id]],[1]chats_with_feedback!$A:$A,[1]chats_with_feedback!$G:$G)</f>
        <v>10</v>
      </c>
      <c r="S226">
        <f>_xlfn.XLOOKUP(Table1[[#This Row],[session_id]],[1]chats_with_feedback!$A:$A,[1]chats_with_feedback!$J:$J)</f>
        <v>3</v>
      </c>
      <c r="T226" t="str">
        <f>_xlfn.XLOOKUP(Table1[[#This Row],[csat_score]],Sheet2!A:A,Sheet2!D:D)</f>
        <v>Alta</v>
      </c>
      <c r="U226" t="str">
        <f>_xlfn.XLOOKUP(Table1[[#This Row],[nps_score]],Sheet2!B:B,Sheet2!E:E)</f>
        <v>promoter</v>
      </c>
      <c r="V226" t="str">
        <f>_xlfn.XLOOKUP(Table1[[#This Row],[resolution_numeric]],Sheet2!C:C,Sheet2!F:F)</f>
        <v>yes</v>
      </c>
      <c r="W226">
        <f>1</f>
        <v>1</v>
      </c>
      <c r="X226">
        <f>IF(ISBLANK(Table1[[#This Row],[nps_category]]),0,1)</f>
        <v>1</v>
      </c>
    </row>
    <row r="227" spans="1:24" x14ac:dyDescent="0.25">
      <c r="A227" t="s">
        <v>52</v>
      </c>
      <c r="B227" t="s">
        <v>53</v>
      </c>
      <c r="C227" s="1">
        <v>46145</v>
      </c>
      <c r="D227" t="s">
        <v>22</v>
      </c>
      <c r="E227" t="b">
        <v>0</v>
      </c>
      <c r="F227">
        <v>1</v>
      </c>
      <c r="G227" s="2">
        <v>0.33055555555555555</v>
      </c>
      <c r="H227" t="s">
        <v>54</v>
      </c>
      <c r="I227" t="s">
        <v>54</v>
      </c>
      <c r="J227" t="s">
        <v>22</v>
      </c>
      <c r="K227" t="b">
        <v>0</v>
      </c>
      <c r="L227" t="b">
        <v>0</v>
      </c>
      <c r="M227">
        <v>3.9645166666666598</v>
      </c>
      <c r="N227">
        <v>5</v>
      </c>
      <c r="O227" t="s">
        <v>55</v>
      </c>
      <c r="P227">
        <v>0.246</v>
      </c>
      <c r="Q227">
        <f>_xlfn.XLOOKUP(Table1[[#This Row],[session_id]],[1]chats_with_feedback!$A:$A,[1]chats_with_feedback!$F:$F)</f>
        <v>2</v>
      </c>
      <c r="R227">
        <f>_xlfn.XLOOKUP(Table1[[#This Row],[session_id]],[1]chats_with_feedback!$A:$A,[1]chats_with_feedback!$G:$G)</f>
        <v>3</v>
      </c>
      <c r="S227">
        <f>_xlfn.XLOOKUP(Table1[[#This Row],[session_id]],[1]chats_with_feedback!$A:$A,[1]chats_with_feedback!$J:$J)</f>
        <v>1</v>
      </c>
      <c r="T227" t="str">
        <f>_xlfn.XLOOKUP(Table1[[#This Row],[csat_score]],Sheet2!A:A,Sheet2!D:D)</f>
        <v>Baja</v>
      </c>
      <c r="U227" t="str">
        <f>_xlfn.XLOOKUP(Table1[[#This Row],[nps_score]],Sheet2!B:B,Sheet2!E:E)</f>
        <v>detractor</v>
      </c>
      <c r="V227" t="str">
        <f>_xlfn.XLOOKUP(Table1[[#This Row],[resolution_numeric]],Sheet2!C:C,Sheet2!F:F)</f>
        <v>no</v>
      </c>
      <c r="W227">
        <f>1</f>
        <v>1</v>
      </c>
      <c r="X227">
        <f>IF(ISBLANK(Table1[[#This Row],[nps_category]]),0,1)</f>
        <v>1</v>
      </c>
    </row>
    <row r="228" spans="1:24" x14ac:dyDescent="0.25">
      <c r="A228" t="s">
        <v>89</v>
      </c>
      <c r="B228" t="s">
        <v>90</v>
      </c>
      <c r="C228" s="1">
        <v>46145</v>
      </c>
      <c r="D228" t="s">
        <v>45</v>
      </c>
      <c r="E228" t="b">
        <v>1</v>
      </c>
      <c r="F228">
        <v>1</v>
      </c>
      <c r="G228" s="2">
        <v>0.53819444444444442</v>
      </c>
      <c r="H228" t="s">
        <v>91</v>
      </c>
      <c r="I228" t="s">
        <v>91</v>
      </c>
      <c r="J228" t="s">
        <v>45</v>
      </c>
      <c r="K228" t="b">
        <v>1</v>
      </c>
      <c r="L228" t="b">
        <v>0</v>
      </c>
      <c r="M228">
        <v>4.2328999999999901</v>
      </c>
      <c r="N228">
        <v>5</v>
      </c>
      <c r="O228" t="s">
        <v>51</v>
      </c>
      <c r="P228">
        <v>0.45540000000000003</v>
      </c>
      <c r="Q228">
        <f>_xlfn.XLOOKUP(Table1[[#This Row],[session_id]],[1]chats_with_feedback!$A:$A,[1]chats_with_feedback!$F:$F)</f>
        <v>5</v>
      </c>
      <c r="R228">
        <f>_xlfn.XLOOKUP(Table1[[#This Row],[session_id]],[1]chats_with_feedback!$A:$A,[1]chats_with_feedback!$G:$G)</f>
        <v>10</v>
      </c>
      <c r="S228">
        <f>_xlfn.XLOOKUP(Table1[[#This Row],[session_id]],[1]chats_with_feedback!$A:$A,[1]chats_with_feedback!$J:$J)</f>
        <v>3</v>
      </c>
      <c r="T228" t="str">
        <f>_xlfn.XLOOKUP(Table1[[#This Row],[csat_score]],Sheet2!A:A,Sheet2!D:D)</f>
        <v>Alta</v>
      </c>
      <c r="U228" t="str">
        <f>_xlfn.XLOOKUP(Table1[[#This Row],[nps_score]],Sheet2!B:B,Sheet2!E:E)</f>
        <v>promoter</v>
      </c>
      <c r="V228" t="str">
        <f>_xlfn.XLOOKUP(Table1[[#This Row],[resolution_numeric]],Sheet2!C:C,Sheet2!F:F)</f>
        <v>yes</v>
      </c>
      <c r="W228">
        <f>1</f>
        <v>1</v>
      </c>
      <c r="X228">
        <f>IF(ISBLANK(Table1[[#This Row],[nps_category]]),0,1)</f>
        <v>1</v>
      </c>
    </row>
    <row r="229" spans="1:24" x14ac:dyDescent="0.25">
      <c r="A229" t="s">
        <v>107</v>
      </c>
      <c r="B229" t="s">
        <v>108</v>
      </c>
      <c r="C229" s="1">
        <v>46145</v>
      </c>
      <c r="D229" t="s">
        <v>22</v>
      </c>
      <c r="E229" t="b">
        <v>0</v>
      </c>
      <c r="F229">
        <v>1</v>
      </c>
      <c r="G229" s="2">
        <v>0.58611111111111114</v>
      </c>
      <c r="H229" t="s">
        <v>109</v>
      </c>
      <c r="I229" t="s">
        <v>109</v>
      </c>
      <c r="J229" t="s">
        <v>22</v>
      </c>
      <c r="K229" t="b">
        <v>0</v>
      </c>
      <c r="L229" t="b">
        <v>0</v>
      </c>
      <c r="M229">
        <v>6.7536333333333296</v>
      </c>
      <c r="N229">
        <v>5</v>
      </c>
      <c r="O229" t="s">
        <v>51</v>
      </c>
      <c r="P229">
        <v>0.39689999999999998</v>
      </c>
      <c r="Q229">
        <f>_xlfn.XLOOKUP(Table1[[#This Row],[session_id]],[1]chats_with_feedback!$A:$A,[1]chats_with_feedback!$F:$F)</f>
        <v>3</v>
      </c>
      <c r="R229">
        <f>_xlfn.XLOOKUP(Table1[[#This Row],[session_id]],[1]chats_with_feedback!$A:$A,[1]chats_with_feedback!$G:$G)</f>
        <v>7</v>
      </c>
      <c r="S229">
        <f>_xlfn.XLOOKUP(Table1[[#This Row],[session_id]],[1]chats_with_feedback!$A:$A,[1]chats_with_feedback!$J:$J)</f>
        <v>2</v>
      </c>
      <c r="T229" t="str">
        <f>_xlfn.XLOOKUP(Table1[[#This Row],[csat_score]],Sheet2!A:A,Sheet2!D:D)</f>
        <v>Media</v>
      </c>
      <c r="U229" t="str">
        <f>_xlfn.XLOOKUP(Table1[[#This Row],[nps_score]],Sheet2!B:B,Sheet2!E:E)</f>
        <v>passive</v>
      </c>
      <c r="V229" t="str">
        <f>_xlfn.XLOOKUP(Table1[[#This Row],[resolution_numeric]],Sheet2!C:C,Sheet2!F:F)</f>
        <v>partial</v>
      </c>
      <c r="W229">
        <f>1</f>
        <v>1</v>
      </c>
      <c r="X229">
        <f>IF(ISBLANK(Table1[[#This Row],[nps_category]]),0,1)</f>
        <v>1</v>
      </c>
    </row>
    <row r="230" spans="1:24" x14ac:dyDescent="0.25">
      <c r="A230" t="s">
        <v>110</v>
      </c>
      <c r="B230" t="s">
        <v>111</v>
      </c>
      <c r="C230" s="1">
        <v>46145</v>
      </c>
      <c r="D230" t="s">
        <v>45</v>
      </c>
      <c r="E230" t="b">
        <v>1</v>
      </c>
      <c r="F230">
        <v>1</v>
      </c>
      <c r="G230" s="2">
        <v>1.6666666666666666E-2</v>
      </c>
      <c r="H230" t="s">
        <v>112</v>
      </c>
      <c r="I230" t="s">
        <v>112</v>
      </c>
      <c r="J230" t="s">
        <v>45</v>
      </c>
      <c r="K230" t="b">
        <v>1</v>
      </c>
      <c r="L230" t="b">
        <v>0</v>
      </c>
      <c r="M230">
        <v>9.454333333333329</v>
      </c>
      <c r="N230">
        <v>5</v>
      </c>
      <c r="O230" t="s">
        <v>113</v>
      </c>
      <c r="P230">
        <v>0.76929999999999998</v>
      </c>
      <c r="Q230">
        <f>_xlfn.XLOOKUP(Table1[[#This Row],[session_id]],[1]chats_with_feedback!$A:$A,[1]chats_with_feedback!$F:$F)</f>
        <v>5</v>
      </c>
      <c r="R230">
        <f>_xlfn.XLOOKUP(Table1[[#This Row],[session_id]],[1]chats_with_feedback!$A:$A,[1]chats_with_feedback!$G:$G)</f>
        <v>10</v>
      </c>
      <c r="S230">
        <f>_xlfn.XLOOKUP(Table1[[#This Row],[session_id]],[1]chats_with_feedback!$A:$A,[1]chats_with_feedback!$J:$J)</f>
        <v>3</v>
      </c>
      <c r="T230" t="str">
        <f>_xlfn.XLOOKUP(Table1[[#This Row],[csat_score]],Sheet2!A:A,Sheet2!D:D)</f>
        <v>Alta</v>
      </c>
      <c r="U230" t="str">
        <f>_xlfn.XLOOKUP(Table1[[#This Row],[nps_score]],Sheet2!B:B,Sheet2!E:E)</f>
        <v>promoter</v>
      </c>
      <c r="V230" t="str">
        <f>_xlfn.XLOOKUP(Table1[[#This Row],[resolution_numeric]],Sheet2!C:C,Sheet2!F:F)</f>
        <v>yes</v>
      </c>
      <c r="W230">
        <f>1</f>
        <v>1</v>
      </c>
      <c r="X230">
        <f>IF(ISBLANK(Table1[[#This Row],[nps_category]]),0,1)</f>
        <v>1</v>
      </c>
    </row>
    <row r="231" spans="1:24" x14ac:dyDescent="0.25">
      <c r="A231" t="s">
        <v>135</v>
      </c>
      <c r="B231" t="s">
        <v>136</v>
      </c>
      <c r="C231" s="1">
        <v>46145</v>
      </c>
      <c r="D231" t="s">
        <v>22</v>
      </c>
      <c r="E231" t="b">
        <v>0</v>
      </c>
      <c r="F231">
        <v>1</v>
      </c>
      <c r="G231" s="2">
        <v>0.42430555555555555</v>
      </c>
      <c r="H231" t="s">
        <v>137</v>
      </c>
      <c r="I231" t="s">
        <v>137</v>
      </c>
      <c r="J231" t="s">
        <v>22</v>
      </c>
      <c r="K231" t="b">
        <v>0</v>
      </c>
      <c r="L231" t="b">
        <v>0</v>
      </c>
      <c r="M231">
        <v>10.81255</v>
      </c>
      <c r="N231">
        <v>5</v>
      </c>
      <c r="O231" t="s">
        <v>51</v>
      </c>
      <c r="P231">
        <v>0.47849999999999998</v>
      </c>
      <c r="Q231">
        <f>_xlfn.XLOOKUP(Table1[[#This Row],[session_id]],[1]chats_with_feedback!$A:$A,[1]chats_with_feedback!$F:$F)</f>
        <v>5</v>
      </c>
      <c r="R231">
        <f>_xlfn.XLOOKUP(Table1[[#This Row],[session_id]],[1]chats_with_feedback!$A:$A,[1]chats_with_feedback!$G:$G)</f>
        <v>10</v>
      </c>
      <c r="S231">
        <f>_xlfn.XLOOKUP(Table1[[#This Row],[session_id]],[1]chats_with_feedback!$A:$A,[1]chats_with_feedback!$J:$J)</f>
        <v>3</v>
      </c>
      <c r="T231" t="str">
        <f>_xlfn.XLOOKUP(Table1[[#This Row],[csat_score]],Sheet2!A:A,Sheet2!D:D)</f>
        <v>Alta</v>
      </c>
      <c r="U231" t="str">
        <f>_xlfn.XLOOKUP(Table1[[#This Row],[nps_score]],Sheet2!B:B,Sheet2!E:E)</f>
        <v>promoter</v>
      </c>
      <c r="V231" t="str">
        <f>_xlfn.XLOOKUP(Table1[[#This Row],[resolution_numeric]],Sheet2!C:C,Sheet2!F:F)</f>
        <v>yes</v>
      </c>
      <c r="W231">
        <f>1</f>
        <v>1</v>
      </c>
      <c r="X231">
        <f>IF(ISBLANK(Table1[[#This Row],[nps_category]]),0,1)</f>
        <v>1</v>
      </c>
    </row>
    <row r="232" spans="1:24" x14ac:dyDescent="0.25">
      <c r="A232" t="s">
        <v>157</v>
      </c>
      <c r="B232" t="s">
        <v>158</v>
      </c>
      <c r="C232" s="1">
        <v>46145</v>
      </c>
      <c r="D232" t="s">
        <v>22</v>
      </c>
      <c r="E232" t="b">
        <v>0</v>
      </c>
      <c r="F232">
        <v>1</v>
      </c>
      <c r="G232" s="2">
        <v>0.56666666666666665</v>
      </c>
      <c r="H232" t="s">
        <v>159</v>
      </c>
      <c r="I232" t="s">
        <v>159</v>
      </c>
      <c r="J232" t="s">
        <v>22</v>
      </c>
      <c r="K232" t="b">
        <v>0</v>
      </c>
      <c r="L232" t="b">
        <v>0</v>
      </c>
      <c r="M232">
        <v>6.0722166666666606</v>
      </c>
      <c r="N232">
        <v>5</v>
      </c>
      <c r="O232" t="s">
        <v>51</v>
      </c>
      <c r="P232">
        <v>0.45700000000000002</v>
      </c>
      <c r="Q232">
        <f>_xlfn.XLOOKUP(Table1[[#This Row],[session_id]],[1]chats_with_feedback!$A:$A,[1]chats_with_feedback!$F:$F)</f>
        <v>5</v>
      </c>
      <c r="R232">
        <f>_xlfn.XLOOKUP(Table1[[#This Row],[session_id]],[1]chats_with_feedback!$A:$A,[1]chats_with_feedback!$G:$G)</f>
        <v>10</v>
      </c>
      <c r="S232">
        <f>_xlfn.XLOOKUP(Table1[[#This Row],[session_id]],[1]chats_with_feedback!$A:$A,[1]chats_with_feedback!$J:$J)</f>
        <v>3</v>
      </c>
      <c r="T232" t="str">
        <f>_xlfn.XLOOKUP(Table1[[#This Row],[csat_score]],Sheet2!A:A,Sheet2!D:D)</f>
        <v>Alta</v>
      </c>
      <c r="U232" t="str">
        <f>_xlfn.XLOOKUP(Table1[[#This Row],[nps_score]],Sheet2!B:B,Sheet2!E:E)</f>
        <v>promoter</v>
      </c>
      <c r="V232" t="str">
        <f>_xlfn.XLOOKUP(Table1[[#This Row],[resolution_numeric]],Sheet2!C:C,Sheet2!F:F)</f>
        <v>yes</v>
      </c>
      <c r="W232">
        <f>1</f>
        <v>1</v>
      </c>
      <c r="X232">
        <f>IF(ISBLANK(Table1[[#This Row],[nps_category]]),0,1)</f>
        <v>1</v>
      </c>
    </row>
    <row r="233" spans="1:24" x14ac:dyDescent="0.25">
      <c r="A233" t="s">
        <v>170</v>
      </c>
      <c r="B233" t="s">
        <v>171</v>
      </c>
      <c r="C233" s="1">
        <v>46145</v>
      </c>
      <c r="D233" t="s">
        <v>22</v>
      </c>
      <c r="E233" t="b">
        <v>0</v>
      </c>
      <c r="F233">
        <v>1</v>
      </c>
      <c r="G233" s="2">
        <v>0.23333333333333334</v>
      </c>
      <c r="H233" t="s">
        <v>172</v>
      </c>
      <c r="I233" t="s">
        <v>172</v>
      </c>
      <c r="J233" t="s">
        <v>22</v>
      </c>
      <c r="K233" t="b">
        <v>0</v>
      </c>
      <c r="L233" t="b">
        <v>0</v>
      </c>
      <c r="M233">
        <v>4.7265666666666597</v>
      </c>
      <c r="N233">
        <v>5</v>
      </c>
      <c r="O233" t="s">
        <v>173</v>
      </c>
      <c r="P233">
        <v>0.31969999999999998</v>
      </c>
      <c r="Q233">
        <f>_xlfn.XLOOKUP(Table1[[#This Row],[session_id]],[1]chats_with_feedback!$A:$A,[1]chats_with_feedback!$F:$F)</f>
        <v>3</v>
      </c>
      <c r="R233">
        <f>_xlfn.XLOOKUP(Table1[[#This Row],[session_id]],[1]chats_with_feedback!$A:$A,[1]chats_with_feedback!$G:$G)</f>
        <v>7</v>
      </c>
      <c r="S233">
        <f>_xlfn.XLOOKUP(Table1[[#This Row],[session_id]],[1]chats_with_feedback!$A:$A,[1]chats_with_feedback!$J:$J)</f>
        <v>2</v>
      </c>
      <c r="T233" t="str">
        <f>_xlfn.XLOOKUP(Table1[[#This Row],[csat_score]],Sheet2!A:A,Sheet2!D:D)</f>
        <v>Media</v>
      </c>
      <c r="U233" t="str">
        <f>_xlfn.XLOOKUP(Table1[[#This Row],[nps_score]],Sheet2!B:B,Sheet2!E:E)</f>
        <v>passive</v>
      </c>
      <c r="V233" t="str">
        <f>_xlfn.XLOOKUP(Table1[[#This Row],[resolution_numeric]],Sheet2!C:C,Sheet2!F:F)</f>
        <v>partial</v>
      </c>
      <c r="W233">
        <f>1</f>
        <v>1</v>
      </c>
      <c r="X233">
        <f>IF(ISBLANK(Table1[[#This Row],[nps_category]]),0,1)</f>
        <v>1</v>
      </c>
    </row>
    <row r="234" spans="1:24" x14ac:dyDescent="0.25">
      <c r="A234" t="s">
        <v>174</v>
      </c>
      <c r="B234" t="s">
        <v>175</v>
      </c>
      <c r="C234" s="1">
        <v>46145</v>
      </c>
      <c r="D234" t="s">
        <v>45</v>
      </c>
      <c r="E234" t="b">
        <v>1</v>
      </c>
      <c r="F234">
        <v>1</v>
      </c>
      <c r="G234" s="2">
        <v>0.46875</v>
      </c>
      <c r="H234" t="s">
        <v>176</v>
      </c>
      <c r="I234" t="s">
        <v>176</v>
      </c>
      <c r="J234" t="s">
        <v>45</v>
      </c>
      <c r="K234" t="b">
        <v>1</v>
      </c>
      <c r="L234" t="b">
        <v>0</v>
      </c>
      <c r="M234">
        <v>33.286749999999998</v>
      </c>
      <c r="N234">
        <v>5</v>
      </c>
      <c r="O234" t="s">
        <v>51</v>
      </c>
      <c r="P234">
        <v>0.4239</v>
      </c>
      <c r="Q234">
        <f>_xlfn.XLOOKUP(Table1[[#This Row],[session_id]],[1]chats_with_feedback!$A:$A,[1]chats_with_feedback!$F:$F)</f>
        <v>3</v>
      </c>
      <c r="R234">
        <f>_xlfn.XLOOKUP(Table1[[#This Row],[session_id]],[1]chats_with_feedback!$A:$A,[1]chats_with_feedback!$G:$G)</f>
        <v>7</v>
      </c>
      <c r="S234">
        <f>_xlfn.XLOOKUP(Table1[[#This Row],[session_id]],[1]chats_with_feedback!$A:$A,[1]chats_with_feedback!$J:$J)</f>
        <v>2</v>
      </c>
      <c r="T234" t="str">
        <f>_xlfn.XLOOKUP(Table1[[#This Row],[csat_score]],Sheet2!A:A,Sheet2!D:D)</f>
        <v>Media</v>
      </c>
      <c r="U234" t="str">
        <f>_xlfn.XLOOKUP(Table1[[#This Row],[nps_score]],Sheet2!B:B,Sheet2!E:E)</f>
        <v>passive</v>
      </c>
      <c r="V234" t="str">
        <f>_xlfn.XLOOKUP(Table1[[#This Row],[resolution_numeric]],Sheet2!C:C,Sheet2!F:F)</f>
        <v>partial</v>
      </c>
      <c r="W234">
        <f>1</f>
        <v>1</v>
      </c>
      <c r="X234">
        <f>IF(ISBLANK(Table1[[#This Row],[nps_category]]),0,1)</f>
        <v>1</v>
      </c>
    </row>
    <row r="235" spans="1:24" x14ac:dyDescent="0.25">
      <c r="A235" t="s">
        <v>292</v>
      </c>
      <c r="B235" t="s">
        <v>293</v>
      </c>
      <c r="C235" s="1">
        <v>46144</v>
      </c>
      <c r="D235" t="s">
        <v>45</v>
      </c>
      <c r="E235" t="b">
        <v>1</v>
      </c>
      <c r="F235">
        <v>1</v>
      </c>
      <c r="G235" s="2">
        <v>9.166666666666666E-2</v>
      </c>
      <c r="H235" t="s">
        <v>269</v>
      </c>
      <c r="I235" t="s">
        <v>269</v>
      </c>
      <c r="J235" t="s">
        <v>45</v>
      </c>
      <c r="K235" t="b">
        <v>1</v>
      </c>
      <c r="L235" t="b">
        <v>0</v>
      </c>
      <c r="M235">
        <v>3.4813666666666596</v>
      </c>
      <c r="N235">
        <v>5</v>
      </c>
      <c r="O235" t="s">
        <v>120</v>
      </c>
      <c r="P235">
        <v>0.31530000000000002</v>
      </c>
      <c r="Q235">
        <f>_xlfn.XLOOKUP(Table1[[#This Row],[session_id]],[1]chats_with_feedback!$A:$A,[1]chats_with_feedback!$F:$F)</f>
        <v>3</v>
      </c>
      <c r="R235">
        <f>_xlfn.XLOOKUP(Table1[[#This Row],[session_id]],[1]chats_with_feedback!$A:$A,[1]chats_with_feedback!$G:$G)</f>
        <v>7</v>
      </c>
      <c r="S235">
        <f>_xlfn.XLOOKUP(Table1[[#This Row],[session_id]],[1]chats_with_feedback!$A:$A,[1]chats_with_feedback!$J:$J)</f>
        <v>2</v>
      </c>
      <c r="T235" t="str">
        <f>_xlfn.XLOOKUP(Table1[[#This Row],[csat_score]],Sheet2!A:A,Sheet2!D:D)</f>
        <v>Media</v>
      </c>
      <c r="U235" t="str">
        <f>_xlfn.XLOOKUP(Table1[[#This Row],[nps_score]],Sheet2!B:B,Sheet2!E:E)</f>
        <v>passive</v>
      </c>
      <c r="V235" t="str">
        <f>_xlfn.XLOOKUP(Table1[[#This Row],[resolution_numeric]],Sheet2!C:C,Sheet2!F:F)</f>
        <v>partial</v>
      </c>
      <c r="W235">
        <f>1</f>
        <v>1</v>
      </c>
      <c r="X235">
        <f>IF(ISBLANK(Table1[[#This Row],[nps_category]]),0,1)</f>
        <v>1</v>
      </c>
    </row>
    <row r="236" spans="1:24" x14ac:dyDescent="0.25">
      <c r="A236" t="s">
        <v>183</v>
      </c>
      <c r="B236" t="s">
        <v>184</v>
      </c>
      <c r="C236" s="1">
        <v>46145</v>
      </c>
      <c r="D236" t="s">
        <v>45</v>
      </c>
      <c r="E236" t="b">
        <v>1</v>
      </c>
      <c r="F236">
        <v>1</v>
      </c>
      <c r="G236" s="2">
        <v>0.60069444444444442</v>
      </c>
      <c r="H236" t="s">
        <v>185</v>
      </c>
      <c r="I236" t="s">
        <v>185</v>
      </c>
      <c r="J236" t="s">
        <v>45</v>
      </c>
      <c r="K236" t="b">
        <v>1</v>
      </c>
      <c r="L236" t="b">
        <v>0</v>
      </c>
      <c r="M236">
        <v>5.1538833333333303</v>
      </c>
      <c r="N236">
        <v>5</v>
      </c>
      <c r="O236" t="s">
        <v>51</v>
      </c>
      <c r="P236">
        <v>0.66920000000000002</v>
      </c>
      <c r="Q236">
        <f>_xlfn.XLOOKUP(Table1[[#This Row],[session_id]],[1]chats_with_feedback!$A:$A,[1]chats_with_feedback!$F:$F)</f>
        <v>5</v>
      </c>
      <c r="R236">
        <f>_xlfn.XLOOKUP(Table1[[#This Row],[session_id]],[1]chats_with_feedback!$A:$A,[1]chats_with_feedback!$G:$G)</f>
        <v>10</v>
      </c>
      <c r="S236">
        <f>_xlfn.XLOOKUP(Table1[[#This Row],[session_id]],[1]chats_with_feedback!$A:$A,[1]chats_with_feedback!$J:$J)</f>
        <v>3</v>
      </c>
      <c r="T236" t="str">
        <f>_xlfn.XLOOKUP(Table1[[#This Row],[csat_score]],Sheet2!A:A,Sheet2!D:D)</f>
        <v>Alta</v>
      </c>
      <c r="U236" t="str">
        <f>_xlfn.XLOOKUP(Table1[[#This Row],[nps_score]],Sheet2!B:B,Sheet2!E:E)</f>
        <v>promoter</v>
      </c>
      <c r="V236" t="str">
        <f>_xlfn.XLOOKUP(Table1[[#This Row],[resolution_numeric]],Sheet2!C:C,Sheet2!F:F)</f>
        <v>yes</v>
      </c>
      <c r="W236">
        <f>1</f>
        <v>1</v>
      </c>
      <c r="X236">
        <f>IF(ISBLANK(Table1[[#This Row],[nps_category]]),0,1)</f>
        <v>1</v>
      </c>
    </row>
    <row r="237" spans="1:24" x14ac:dyDescent="0.25">
      <c r="A237" t="s">
        <v>186</v>
      </c>
      <c r="B237" t="s">
        <v>187</v>
      </c>
      <c r="C237" s="1">
        <v>46145</v>
      </c>
      <c r="D237" t="s">
        <v>45</v>
      </c>
      <c r="E237" t="b">
        <v>1</v>
      </c>
      <c r="F237">
        <v>1</v>
      </c>
      <c r="G237" s="2">
        <v>0.15833333333333333</v>
      </c>
      <c r="H237" t="s">
        <v>188</v>
      </c>
      <c r="I237" t="s">
        <v>188</v>
      </c>
      <c r="J237" t="s">
        <v>45</v>
      </c>
      <c r="K237" t="b">
        <v>1</v>
      </c>
      <c r="L237" t="b">
        <v>0</v>
      </c>
      <c r="M237">
        <v>8.2017666666666607</v>
      </c>
      <c r="N237">
        <v>5</v>
      </c>
      <c r="O237" t="s">
        <v>51</v>
      </c>
      <c r="P237">
        <v>0.47589999999999999</v>
      </c>
      <c r="Q237">
        <f>_xlfn.XLOOKUP(Table1[[#This Row],[session_id]],[1]chats_with_feedback!$A:$A,[1]chats_with_feedback!$F:$F)</f>
        <v>5</v>
      </c>
      <c r="R237">
        <f>_xlfn.XLOOKUP(Table1[[#This Row],[session_id]],[1]chats_with_feedback!$A:$A,[1]chats_with_feedback!$G:$G)</f>
        <v>10</v>
      </c>
      <c r="S237">
        <f>_xlfn.XLOOKUP(Table1[[#This Row],[session_id]],[1]chats_with_feedback!$A:$A,[1]chats_with_feedback!$J:$J)</f>
        <v>3</v>
      </c>
      <c r="T237" t="str">
        <f>_xlfn.XLOOKUP(Table1[[#This Row],[csat_score]],Sheet2!A:A,Sheet2!D:D)</f>
        <v>Alta</v>
      </c>
      <c r="U237" t="str">
        <f>_xlfn.XLOOKUP(Table1[[#This Row],[nps_score]],Sheet2!B:B,Sheet2!E:E)</f>
        <v>promoter</v>
      </c>
      <c r="V237" t="str">
        <f>_xlfn.XLOOKUP(Table1[[#This Row],[resolution_numeric]],Sheet2!C:C,Sheet2!F:F)</f>
        <v>yes</v>
      </c>
      <c r="W237">
        <f>1</f>
        <v>1</v>
      </c>
      <c r="X237">
        <f>IF(ISBLANK(Table1[[#This Row],[nps_category]]),0,1)</f>
        <v>1</v>
      </c>
    </row>
    <row r="238" spans="1:24" x14ac:dyDescent="0.25">
      <c r="A238" t="s">
        <v>196</v>
      </c>
      <c r="B238" t="s">
        <v>197</v>
      </c>
      <c r="C238" s="1">
        <v>46145</v>
      </c>
      <c r="D238" t="s">
        <v>45</v>
      </c>
      <c r="E238" t="b">
        <v>1</v>
      </c>
      <c r="F238">
        <v>1</v>
      </c>
      <c r="G238" s="2">
        <v>0.56041666666666667</v>
      </c>
      <c r="H238" t="s">
        <v>198</v>
      </c>
      <c r="I238" t="s">
        <v>198</v>
      </c>
      <c r="J238" t="s">
        <v>45</v>
      </c>
      <c r="K238" t="b">
        <v>1</v>
      </c>
      <c r="L238" t="b">
        <v>0</v>
      </c>
      <c r="M238">
        <v>6.5025500000000003</v>
      </c>
      <c r="N238">
        <v>5</v>
      </c>
      <c r="O238" t="s">
        <v>51</v>
      </c>
      <c r="P238">
        <v>0.46139999999999998</v>
      </c>
      <c r="Q238">
        <f>_xlfn.XLOOKUP(Table1[[#This Row],[session_id]],[1]chats_with_feedback!$A:$A,[1]chats_with_feedback!$F:$F)</f>
        <v>5</v>
      </c>
      <c r="R238">
        <f>_xlfn.XLOOKUP(Table1[[#This Row],[session_id]],[1]chats_with_feedback!$A:$A,[1]chats_with_feedback!$G:$G)</f>
        <v>10</v>
      </c>
      <c r="S238">
        <f>_xlfn.XLOOKUP(Table1[[#This Row],[session_id]],[1]chats_with_feedback!$A:$A,[1]chats_with_feedback!$J:$J)</f>
        <v>3</v>
      </c>
      <c r="T238" t="str">
        <f>_xlfn.XLOOKUP(Table1[[#This Row],[csat_score]],Sheet2!A:A,Sheet2!D:D)</f>
        <v>Alta</v>
      </c>
      <c r="U238" t="str">
        <f>_xlfn.XLOOKUP(Table1[[#This Row],[nps_score]],Sheet2!B:B,Sheet2!E:E)</f>
        <v>promoter</v>
      </c>
      <c r="V238" t="str">
        <f>_xlfn.XLOOKUP(Table1[[#This Row],[resolution_numeric]],Sheet2!C:C,Sheet2!F:F)</f>
        <v>yes</v>
      </c>
      <c r="W238">
        <f>1</f>
        <v>1</v>
      </c>
      <c r="X238">
        <f>IF(ISBLANK(Table1[[#This Row],[nps_category]]),0,1)</f>
        <v>1</v>
      </c>
    </row>
    <row r="239" spans="1:24" x14ac:dyDescent="0.25">
      <c r="A239" t="s">
        <v>201</v>
      </c>
      <c r="B239" t="s">
        <v>202</v>
      </c>
      <c r="C239" s="1">
        <v>46145</v>
      </c>
      <c r="D239" t="s">
        <v>22</v>
      </c>
      <c r="E239" t="b">
        <v>0</v>
      </c>
      <c r="F239">
        <v>1</v>
      </c>
      <c r="G239" s="2">
        <v>0.61597222222222225</v>
      </c>
      <c r="H239" t="s">
        <v>203</v>
      </c>
      <c r="I239" t="s">
        <v>203</v>
      </c>
      <c r="J239" t="s">
        <v>22</v>
      </c>
      <c r="K239" t="b">
        <v>0</v>
      </c>
      <c r="L239" t="b">
        <v>0</v>
      </c>
      <c r="M239">
        <v>3.9411166666666597</v>
      </c>
      <c r="N239">
        <v>5</v>
      </c>
      <c r="O239" t="s">
        <v>51</v>
      </c>
      <c r="P239">
        <v>0.62370000000000003</v>
      </c>
      <c r="Q239">
        <f>_xlfn.XLOOKUP(Table1[[#This Row],[session_id]],[1]chats_with_feedback!$A:$A,[1]chats_with_feedback!$F:$F)</f>
        <v>5</v>
      </c>
      <c r="R239">
        <f>_xlfn.XLOOKUP(Table1[[#This Row],[session_id]],[1]chats_with_feedback!$A:$A,[1]chats_with_feedback!$G:$G)</f>
        <v>10</v>
      </c>
      <c r="S239">
        <f>_xlfn.XLOOKUP(Table1[[#This Row],[session_id]],[1]chats_with_feedback!$A:$A,[1]chats_with_feedback!$J:$J)</f>
        <v>3</v>
      </c>
      <c r="T239" t="str">
        <f>_xlfn.XLOOKUP(Table1[[#This Row],[csat_score]],Sheet2!A:A,Sheet2!D:D)</f>
        <v>Alta</v>
      </c>
      <c r="U239" t="str">
        <f>_xlfn.XLOOKUP(Table1[[#This Row],[nps_score]],Sheet2!B:B,Sheet2!E:E)</f>
        <v>promoter</v>
      </c>
      <c r="V239" t="str">
        <f>_xlfn.XLOOKUP(Table1[[#This Row],[resolution_numeric]],Sheet2!C:C,Sheet2!F:F)</f>
        <v>yes</v>
      </c>
      <c r="W239">
        <f>1</f>
        <v>1</v>
      </c>
      <c r="X239">
        <f>IF(ISBLANK(Table1[[#This Row],[nps_category]]),0,1)</f>
        <v>1</v>
      </c>
    </row>
    <row r="240" spans="1:24" x14ac:dyDescent="0.25">
      <c r="A240" t="s">
        <v>204</v>
      </c>
      <c r="B240" t="s">
        <v>205</v>
      </c>
      <c r="C240" s="1">
        <v>46145</v>
      </c>
      <c r="D240" t="s">
        <v>45</v>
      </c>
      <c r="E240" t="b">
        <v>1</v>
      </c>
      <c r="F240">
        <v>1</v>
      </c>
      <c r="G240" s="2">
        <v>0.13472222222222222</v>
      </c>
      <c r="H240" t="s">
        <v>206</v>
      </c>
      <c r="I240" t="s">
        <v>206</v>
      </c>
      <c r="J240" t="s">
        <v>45</v>
      </c>
      <c r="K240" t="b">
        <v>1</v>
      </c>
      <c r="L240" t="b">
        <v>0</v>
      </c>
      <c r="M240">
        <v>4.7396833333333301</v>
      </c>
      <c r="N240">
        <v>5</v>
      </c>
      <c r="O240" t="s">
        <v>207</v>
      </c>
      <c r="P240">
        <v>0.34189999999999998</v>
      </c>
      <c r="Q240">
        <f>_xlfn.XLOOKUP(Table1[[#This Row],[session_id]],[1]chats_with_feedback!$A:$A,[1]chats_with_feedback!$F:$F)</f>
        <v>3</v>
      </c>
      <c r="R240">
        <f>_xlfn.XLOOKUP(Table1[[#This Row],[session_id]],[1]chats_with_feedback!$A:$A,[1]chats_with_feedback!$G:$G)</f>
        <v>7</v>
      </c>
      <c r="S240">
        <f>_xlfn.XLOOKUP(Table1[[#This Row],[session_id]],[1]chats_with_feedback!$A:$A,[1]chats_with_feedback!$J:$J)</f>
        <v>2</v>
      </c>
      <c r="T240" t="str">
        <f>_xlfn.XLOOKUP(Table1[[#This Row],[csat_score]],Sheet2!A:A,Sheet2!D:D)</f>
        <v>Media</v>
      </c>
      <c r="U240" t="str">
        <f>_xlfn.XLOOKUP(Table1[[#This Row],[nps_score]],Sheet2!B:B,Sheet2!E:E)</f>
        <v>passive</v>
      </c>
      <c r="V240" t="str">
        <f>_xlfn.XLOOKUP(Table1[[#This Row],[resolution_numeric]],Sheet2!C:C,Sheet2!F:F)</f>
        <v>partial</v>
      </c>
      <c r="W240">
        <f>1</f>
        <v>1</v>
      </c>
      <c r="X240">
        <f>IF(ISBLANK(Table1[[#This Row],[nps_category]]),0,1)</f>
        <v>1</v>
      </c>
    </row>
    <row r="241" spans="1:24" x14ac:dyDescent="0.25">
      <c r="A241" t="s">
        <v>210</v>
      </c>
      <c r="B241" t="s">
        <v>211</v>
      </c>
      <c r="C241" s="1">
        <v>46145</v>
      </c>
      <c r="D241" t="s">
        <v>45</v>
      </c>
      <c r="E241" t="b">
        <v>1</v>
      </c>
      <c r="F241">
        <v>1</v>
      </c>
      <c r="G241" s="2">
        <v>0.57916666666666672</v>
      </c>
      <c r="H241" t="s">
        <v>212</v>
      </c>
      <c r="I241" t="s">
        <v>212</v>
      </c>
      <c r="J241" t="s">
        <v>45</v>
      </c>
      <c r="K241" t="b">
        <v>1</v>
      </c>
      <c r="L241" t="b">
        <v>0</v>
      </c>
      <c r="M241">
        <v>5.37161666666666</v>
      </c>
      <c r="N241">
        <v>5</v>
      </c>
      <c r="O241" t="s">
        <v>51</v>
      </c>
      <c r="P241">
        <v>0.45929999999999999</v>
      </c>
      <c r="Q241">
        <f>_xlfn.XLOOKUP(Table1[[#This Row],[session_id]],[1]chats_with_feedback!$A:$A,[1]chats_with_feedback!$F:$F)</f>
        <v>5</v>
      </c>
      <c r="R241">
        <f>_xlfn.XLOOKUP(Table1[[#This Row],[session_id]],[1]chats_with_feedback!$A:$A,[1]chats_with_feedback!$G:$G)</f>
        <v>10</v>
      </c>
      <c r="S241">
        <f>_xlfn.XLOOKUP(Table1[[#This Row],[session_id]],[1]chats_with_feedback!$A:$A,[1]chats_with_feedback!$J:$J)</f>
        <v>3</v>
      </c>
      <c r="T241" t="str">
        <f>_xlfn.XLOOKUP(Table1[[#This Row],[csat_score]],Sheet2!A:A,Sheet2!D:D)</f>
        <v>Alta</v>
      </c>
      <c r="U241" t="str">
        <f>_xlfn.XLOOKUP(Table1[[#This Row],[nps_score]],Sheet2!B:B,Sheet2!E:E)</f>
        <v>promoter</v>
      </c>
      <c r="V241" t="str">
        <f>_xlfn.XLOOKUP(Table1[[#This Row],[resolution_numeric]],Sheet2!C:C,Sheet2!F:F)</f>
        <v>yes</v>
      </c>
      <c r="W241">
        <f>1</f>
        <v>1</v>
      </c>
      <c r="X241">
        <f>IF(ISBLANK(Table1[[#This Row],[nps_category]]),0,1)</f>
        <v>1</v>
      </c>
    </row>
    <row r="242" spans="1:24" x14ac:dyDescent="0.25">
      <c r="A242" t="s">
        <v>219</v>
      </c>
      <c r="B242" t="s">
        <v>220</v>
      </c>
      <c r="C242" s="1">
        <v>46145</v>
      </c>
      <c r="D242" t="s">
        <v>45</v>
      </c>
      <c r="E242" t="b">
        <v>1</v>
      </c>
      <c r="F242">
        <v>1</v>
      </c>
      <c r="G242" s="2">
        <v>0.49444444444444446</v>
      </c>
      <c r="H242" t="s">
        <v>221</v>
      </c>
      <c r="I242" t="s">
        <v>221</v>
      </c>
      <c r="J242" t="s">
        <v>45</v>
      </c>
      <c r="K242" t="b">
        <v>1</v>
      </c>
      <c r="L242" t="b">
        <v>0</v>
      </c>
      <c r="M242">
        <v>5.0832833333333296</v>
      </c>
      <c r="N242">
        <v>5</v>
      </c>
      <c r="O242" t="s">
        <v>51</v>
      </c>
      <c r="P242">
        <v>0.65610000000000002</v>
      </c>
      <c r="Q242">
        <f>_xlfn.XLOOKUP(Table1[[#This Row],[session_id]],[1]chats_with_feedback!$A:$A,[1]chats_with_feedback!$F:$F)</f>
        <v>5</v>
      </c>
      <c r="R242">
        <f>_xlfn.XLOOKUP(Table1[[#This Row],[session_id]],[1]chats_with_feedback!$A:$A,[1]chats_with_feedback!$G:$G)</f>
        <v>10</v>
      </c>
      <c r="S242">
        <f>_xlfn.XLOOKUP(Table1[[#This Row],[session_id]],[1]chats_with_feedback!$A:$A,[1]chats_with_feedback!$J:$J)</f>
        <v>3</v>
      </c>
      <c r="T242" t="str">
        <f>_xlfn.XLOOKUP(Table1[[#This Row],[csat_score]],Sheet2!A:A,Sheet2!D:D)</f>
        <v>Alta</v>
      </c>
      <c r="U242" t="str">
        <f>_xlfn.XLOOKUP(Table1[[#This Row],[nps_score]],Sheet2!B:B,Sheet2!E:E)</f>
        <v>promoter</v>
      </c>
      <c r="V242" t="str">
        <f>_xlfn.XLOOKUP(Table1[[#This Row],[resolution_numeric]],Sheet2!C:C,Sheet2!F:F)</f>
        <v>yes</v>
      </c>
      <c r="W242">
        <f>1</f>
        <v>1</v>
      </c>
      <c r="X242">
        <f>IF(ISBLANK(Table1[[#This Row],[nps_category]]),0,1)</f>
        <v>1</v>
      </c>
    </row>
    <row r="243" spans="1:24" x14ac:dyDescent="0.25">
      <c r="A243" t="s">
        <v>1002</v>
      </c>
      <c r="B243" t="s">
        <v>1003</v>
      </c>
      <c r="C243" s="1">
        <v>46144</v>
      </c>
      <c r="D243" t="s">
        <v>22</v>
      </c>
      <c r="E243" t="b">
        <v>0</v>
      </c>
      <c r="F243">
        <v>1</v>
      </c>
      <c r="G243" s="2">
        <v>8.819444444444445E-2</v>
      </c>
      <c r="H243" t="s">
        <v>199</v>
      </c>
      <c r="I243" t="s">
        <v>199</v>
      </c>
      <c r="J243" t="s">
        <v>22</v>
      </c>
      <c r="K243" t="b">
        <v>0</v>
      </c>
      <c r="L243" t="b">
        <v>0</v>
      </c>
      <c r="M243">
        <v>4.7409333333333299</v>
      </c>
      <c r="N243">
        <v>5</v>
      </c>
      <c r="O243" t="s">
        <v>200</v>
      </c>
      <c r="P243">
        <v>0.34860000000000002</v>
      </c>
      <c r="Q243">
        <f>_xlfn.XLOOKUP(Table1[[#This Row],[session_id]],[1]chats_with_feedback!$A:$A,[1]chats_with_feedback!$F:$F)</f>
        <v>3</v>
      </c>
      <c r="R243">
        <f>_xlfn.XLOOKUP(Table1[[#This Row],[session_id]],[1]chats_with_feedback!$A:$A,[1]chats_with_feedback!$G:$G)</f>
        <v>7</v>
      </c>
      <c r="S243">
        <f>_xlfn.XLOOKUP(Table1[[#This Row],[session_id]],[1]chats_with_feedback!$A:$A,[1]chats_with_feedback!$J:$J)</f>
        <v>2</v>
      </c>
      <c r="T243" t="str">
        <f>_xlfn.XLOOKUP(Table1[[#This Row],[csat_score]],Sheet2!A:A,Sheet2!D:D)</f>
        <v>Media</v>
      </c>
      <c r="U243" t="str">
        <f>_xlfn.XLOOKUP(Table1[[#This Row],[nps_score]],Sheet2!B:B,Sheet2!E:E)</f>
        <v>passive</v>
      </c>
      <c r="V243" t="str">
        <f>_xlfn.XLOOKUP(Table1[[#This Row],[resolution_numeric]],Sheet2!C:C,Sheet2!F:F)</f>
        <v>partial</v>
      </c>
      <c r="W243">
        <f>1</f>
        <v>1</v>
      </c>
      <c r="X243">
        <f>IF(ISBLANK(Table1[[#This Row],[nps_category]]),0,1)</f>
        <v>1</v>
      </c>
    </row>
    <row r="244" spans="1:24" x14ac:dyDescent="0.25">
      <c r="A244" t="s">
        <v>235</v>
      </c>
      <c r="B244" t="s">
        <v>236</v>
      </c>
      <c r="C244" s="1">
        <v>46145</v>
      </c>
      <c r="D244" t="s">
        <v>22</v>
      </c>
      <c r="E244" t="b">
        <v>0</v>
      </c>
      <c r="F244">
        <v>1</v>
      </c>
      <c r="G244" s="2">
        <v>0.48888888888888887</v>
      </c>
      <c r="H244" t="s">
        <v>237</v>
      </c>
      <c r="I244" t="s">
        <v>237</v>
      </c>
      <c r="J244" t="s">
        <v>22</v>
      </c>
      <c r="K244" t="b">
        <v>0</v>
      </c>
      <c r="L244" t="b">
        <v>0</v>
      </c>
      <c r="M244">
        <v>7.0834333333333301</v>
      </c>
      <c r="N244">
        <v>5</v>
      </c>
      <c r="O244" t="s">
        <v>51</v>
      </c>
      <c r="P244">
        <v>0.44569999999999999</v>
      </c>
      <c r="Q244">
        <f>_xlfn.XLOOKUP(Table1[[#This Row],[session_id]],[1]chats_with_feedback!$A:$A,[1]chats_with_feedback!$F:$F)</f>
        <v>5</v>
      </c>
      <c r="R244">
        <f>_xlfn.XLOOKUP(Table1[[#This Row],[session_id]],[1]chats_with_feedback!$A:$A,[1]chats_with_feedback!$G:$G)</f>
        <v>10</v>
      </c>
      <c r="S244">
        <f>_xlfn.XLOOKUP(Table1[[#This Row],[session_id]],[1]chats_with_feedback!$A:$A,[1]chats_with_feedback!$J:$J)</f>
        <v>3</v>
      </c>
      <c r="T244" t="str">
        <f>_xlfn.XLOOKUP(Table1[[#This Row],[csat_score]],Sheet2!A:A,Sheet2!D:D)</f>
        <v>Alta</v>
      </c>
      <c r="U244" t="str">
        <f>_xlfn.XLOOKUP(Table1[[#This Row],[nps_score]],Sheet2!B:B,Sheet2!E:E)</f>
        <v>promoter</v>
      </c>
      <c r="V244" t="str">
        <f>_xlfn.XLOOKUP(Table1[[#This Row],[resolution_numeric]],Sheet2!C:C,Sheet2!F:F)</f>
        <v>yes</v>
      </c>
      <c r="W244">
        <f>1</f>
        <v>1</v>
      </c>
      <c r="X244">
        <f>IF(ISBLANK(Table1[[#This Row],[nps_category]]),0,1)</f>
        <v>1</v>
      </c>
    </row>
    <row r="245" spans="1:24" x14ac:dyDescent="0.25">
      <c r="A245" t="s">
        <v>242</v>
      </c>
      <c r="B245" t="s">
        <v>243</v>
      </c>
      <c r="C245" s="1">
        <v>46145</v>
      </c>
      <c r="D245" t="s">
        <v>22</v>
      </c>
      <c r="E245" t="b">
        <v>0</v>
      </c>
      <c r="F245">
        <v>1</v>
      </c>
      <c r="G245" s="2">
        <v>0.50694444444444442</v>
      </c>
      <c r="H245" t="s">
        <v>244</v>
      </c>
      <c r="I245" t="s">
        <v>244</v>
      </c>
      <c r="J245" t="s">
        <v>22</v>
      </c>
      <c r="K245" t="b">
        <v>0</v>
      </c>
      <c r="L245" t="b">
        <v>0</v>
      </c>
      <c r="M245">
        <v>3.7616166666666602</v>
      </c>
      <c r="N245">
        <v>5</v>
      </c>
      <c r="O245" t="s">
        <v>51</v>
      </c>
      <c r="P245">
        <v>0.42549999999999999</v>
      </c>
      <c r="Q245">
        <f>_xlfn.XLOOKUP(Table1[[#This Row],[session_id]],[1]chats_with_feedback!$A:$A,[1]chats_with_feedback!$F:$F)</f>
        <v>5</v>
      </c>
      <c r="R245">
        <f>_xlfn.XLOOKUP(Table1[[#This Row],[session_id]],[1]chats_with_feedback!$A:$A,[1]chats_with_feedback!$G:$G)</f>
        <v>10</v>
      </c>
      <c r="S245">
        <f>_xlfn.XLOOKUP(Table1[[#This Row],[session_id]],[1]chats_with_feedback!$A:$A,[1]chats_with_feedback!$J:$J)</f>
        <v>3</v>
      </c>
      <c r="T245" t="str">
        <f>_xlfn.XLOOKUP(Table1[[#This Row],[csat_score]],Sheet2!A:A,Sheet2!D:D)</f>
        <v>Alta</v>
      </c>
      <c r="U245" t="str">
        <f>_xlfn.XLOOKUP(Table1[[#This Row],[nps_score]],Sheet2!B:B,Sheet2!E:E)</f>
        <v>promoter</v>
      </c>
      <c r="V245" t="str">
        <f>_xlfn.XLOOKUP(Table1[[#This Row],[resolution_numeric]],Sheet2!C:C,Sheet2!F:F)</f>
        <v>yes</v>
      </c>
      <c r="W245">
        <f>1</f>
        <v>1</v>
      </c>
      <c r="X245">
        <f>IF(ISBLANK(Table1[[#This Row],[nps_category]]),0,1)</f>
        <v>1</v>
      </c>
    </row>
    <row r="246" spans="1:24" x14ac:dyDescent="0.25">
      <c r="A246" t="s">
        <v>245</v>
      </c>
      <c r="B246" t="s">
        <v>246</v>
      </c>
      <c r="C246" s="1">
        <v>46145</v>
      </c>
      <c r="D246" t="s">
        <v>45</v>
      </c>
      <c r="E246" t="b">
        <v>1</v>
      </c>
      <c r="F246">
        <v>1</v>
      </c>
      <c r="G246" s="2">
        <v>0.42986111111111114</v>
      </c>
      <c r="H246" t="s">
        <v>247</v>
      </c>
      <c r="I246" t="s">
        <v>247</v>
      </c>
      <c r="J246" t="s">
        <v>45</v>
      </c>
      <c r="K246" t="b">
        <v>1</v>
      </c>
      <c r="L246" t="b">
        <v>0</v>
      </c>
      <c r="M246">
        <v>6.4439833333333301</v>
      </c>
      <c r="N246">
        <v>5</v>
      </c>
      <c r="O246" t="s">
        <v>51</v>
      </c>
      <c r="P246">
        <v>0.42080000000000001</v>
      </c>
      <c r="Q246">
        <f>_xlfn.XLOOKUP(Table1[[#This Row],[session_id]],[1]chats_with_feedback!$A:$A,[1]chats_with_feedback!$F:$F)</f>
        <v>5</v>
      </c>
      <c r="R246">
        <f>_xlfn.XLOOKUP(Table1[[#This Row],[session_id]],[1]chats_with_feedback!$A:$A,[1]chats_with_feedback!$G:$G)</f>
        <v>10</v>
      </c>
      <c r="S246">
        <f>_xlfn.XLOOKUP(Table1[[#This Row],[session_id]],[1]chats_with_feedback!$A:$A,[1]chats_with_feedback!$J:$J)</f>
        <v>3</v>
      </c>
      <c r="T246" t="str">
        <f>_xlfn.XLOOKUP(Table1[[#This Row],[csat_score]],Sheet2!A:A,Sheet2!D:D)</f>
        <v>Alta</v>
      </c>
      <c r="U246" t="str">
        <f>_xlfn.XLOOKUP(Table1[[#This Row],[nps_score]],Sheet2!B:B,Sheet2!E:E)</f>
        <v>promoter</v>
      </c>
      <c r="V246" t="str">
        <f>_xlfn.XLOOKUP(Table1[[#This Row],[resolution_numeric]],Sheet2!C:C,Sheet2!F:F)</f>
        <v>yes</v>
      </c>
      <c r="W246">
        <f>1</f>
        <v>1</v>
      </c>
      <c r="X246">
        <f>IF(ISBLANK(Table1[[#This Row],[nps_category]]),0,1)</f>
        <v>1</v>
      </c>
    </row>
    <row r="247" spans="1:24" x14ac:dyDescent="0.25">
      <c r="A247" t="s">
        <v>251</v>
      </c>
      <c r="B247" t="s">
        <v>252</v>
      </c>
      <c r="C247" s="1">
        <v>46145</v>
      </c>
      <c r="D247" t="s">
        <v>22</v>
      </c>
      <c r="E247" t="b">
        <v>0</v>
      </c>
      <c r="F247">
        <v>1</v>
      </c>
      <c r="G247" s="2">
        <v>0.12986111111111112</v>
      </c>
      <c r="H247" t="s">
        <v>253</v>
      </c>
      <c r="I247" t="s">
        <v>253</v>
      </c>
      <c r="J247" t="s">
        <v>22</v>
      </c>
      <c r="K247" t="b">
        <v>0</v>
      </c>
      <c r="L247" t="b">
        <v>0</v>
      </c>
      <c r="M247">
        <v>3.9119666666666593</v>
      </c>
      <c r="N247">
        <v>5</v>
      </c>
      <c r="O247" t="s">
        <v>226</v>
      </c>
      <c r="P247">
        <v>0.41830000000000001</v>
      </c>
      <c r="Q247">
        <f>_xlfn.XLOOKUP(Table1[[#This Row],[session_id]],[1]chats_with_feedback!$A:$A,[1]chats_with_feedback!$F:$F)</f>
        <v>3</v>
      </c>
      <c r="R247">
        <f>_xlfn.XLOOKUP(Table1[[#This Row],[session_id]],[1]chats_with_feedback!$A:$A,[1]chats_with_feedback!$G:$G)</f>
        <v>7</v>
      </c>
      <c r="S247">
        <f>_xlfn.XLOOKUP(Table1[[#This Row],[session_id]],[1]chats_with_feedback!$A:$A,[1]chats_with_feedback!$J:$J)</f>
        <v>2</v>
      </c>
      <c r="T247" t="str">
        <f>_xlfn.XLOOKUP(Table1[[#This Row],[csat_score]],Sheet2!A:A,Sheet2!D:D)</f>
        <v>Media</v>
      </c>
      <c r="U247" t="str">
        <f>_xlfn.XLOOKUP(Table1[[#This Row],[nps_score]],Sheet2!B:B,Sheet2!E:E)</f>
        <v>passive</v>
      </c>
      <c r="V247" t="str">
        <f>_xlfn.XLOOKUP(Table1[[#This Row],[resolution_numeric]],Sheet2!C:C,Sheet2!F:F)</f>
        <v>partial</v>
      </c>
      <c r="W247">
        <f>1</f>
        <v>1</v>
      </c>
      <c r="X247">
        <f>IF(ISBLANK(Table1[[#This Row],[nps_category]]),0,1)</f>
        <v>1</v>
      </c>
    </row>
    <row r="248" spans="1:24" x14ac:dyDescent="0.25">
      <c r="A248" t="s">
        <v>289</v>
      </c>
      <c r="B248" t="s">
        <v>290</v>
      </c>
      <c r="C248" s="1">
        <v>46145</v>
      </c>
      <c r="D248" t="s">
        <v>45</v>
      </c>
      <c r="E248" t="b">
        <v>1</v>
      </c>
      <c r="F248">
        <v>1</v>
      </c>
      <c r="G248" s="2">
        <v>0.3263888888888889</v>
      </c>
      <c r="H248" t="s">
        <v>291</v>
      </c>
      <c r="I248" t="s">
        <v>291</v>
      </c>
      <c r="J248" t="s">
        <v>45</v>
      </c>
      <c r="K248" t="b">
        <v>1</v>
      </c>
      <c r="L248" t="b">
        <v>0</v>
      </c>
      <c r="M248">
        <v>3.2554666666666603</v>
      </c>
      <c r="N248">
        <v>5</v>
      </c>
      <c r="O248" t="s">
        <v>226</v>
      </c>
      <c r="P248">
        <v>0.30449999999999999</v>
      </c>
      <c r="Q248">
        <f>_xlfn.XLOOKUP(Table1[[#This Row],[session_id]],[1]chats_with_feedback!$A:$A,[1]chats_with_feedback!$F:$F)</f>
        <v>3</v>
      </c>
      <c r="R248">
        <f>_xlfn.XLOOKUP(Table1[[#This Row],[session_id]],[1]chats_with_feedback!$A:$A,[1]chats_with_feedback!$G:$G)</f>
        <v>7</v>
      </c>
      <c r="S248">
        <f>_xlfn.XLOOKUP(Table1[[#This Row],[session_id]],[1]chats_with_feedback!$A:$A,[1]chats_with_feedback!$J:$J)</f>
        <v>2</v>
      </c>
      <c r="T248" t="str">
        <f>_xlfn.XLOOKUP(Table1[[#This Row],[csat_score]],Sheet2!A:A,Sheet2!D:D)</f>
        <v>Media</v>
      </c>
      <c r="U248" t="str">
        <f>_xlfn.XLOOKUP(Table1[[#This Row],[nps_score]],Sheet2!B:B,Sheet2!E:E)</f>
        <v>passive</v>
      </c>
      <c r="V248" t="str">
        <f>_xlfn.XLOOKUP(Table1[[#This Row],[resolution_numeric]],Sheet2!C:C,Sheet2!F:F)</f>
        <v>partial</v>
      </c>
      <c r="W248">
        <f>1</f>
        <v>1</v>
      </c>
      <c r="X248">
        <f>IF(ISBLANK(Table1[[#This Row],[nps_category]]),0,1)</f>
        <v>1</v>
      </c>
    </row>
    <row r="249" spans="1:24" x14ac:dyDescent="0.25">
      <c r="A249" t="s">
        <v>301</v>
      </c>
      <c r="B249" t="s">
        <v>302</v>
      </c>
      <c r="C249" s="1">
        <v>46145</v>
      </c>
      <c r="D249" t="s">
        <v>45</v>
      </c>
      <c r="E249" t="b">
        <v>1</v>
      </c>
      <c r="F249">
        <v>1</v>
      </c>
      <c r="G249" s="2">
        <v>0.66666666666666663</v>
      </c>
      <c r="H249" t="s">
        <v>303</v>
      </c>
      <c r="I249" t="s">
        <v>303</v>
      </c>
      <c r="J249" t="s">
        <v>45</v>
      </c>
      <c r="K249" t="b">
        <v>1</v>
      </c>
      <c r="L249" t="b">
        <v>0</v>
      </c>
      <c r="M249">
        <v>4.7533666666666603</v>
      </c>
      <c r="N249">
        <v>5</v>
      </c>
      <c r="O249" t="s">
        <v>51</v>
      </c>
      <c r="P249">
        <v>0.4521</v>
      </c>
      <c r="Q249">
        <f>_xlfn.XLOOKUP(Table1[[#This Row],[session_id]],[1]chats_with_feedback!$A:$A,[1]chats_with_feedback!$F:$F)</f>
        <v>5</v>
      </c>
      <c r="R249">
        <f>_xlfn.XLOOKUP(Table1[[#This Row],[session_id]],[1]chats_with_feedback!$A:$A,[1]chats_with_feedback!$G:$G)</f>
        <v>10</v>
      </c>
      <c r="S249">
        <f>_xlfn.XLOOKUP(Table1[[#This Row],[session_id]],[1]chats_with_feedback!$A:$A,[1]chats_with_feedback!$J:$J)</f>
        <v>3</v>
      </c>
      <c r="T249" t="str">
        <f>_xlfn.XLOOKUP(Table1[[#This Row],[csat_score]],Sheet2!A:A,Sheet2!D:D)</f>
        <v>Alta</v>
      </c>
      <c r="U249" t="str">
        <f>_xlfn.XLOOKUP(Table1[[#This Row],[nps_score]],Sheet2!B:B,Sheet2!E:E)</f>
        <v>promoter</v>
      </c>
      <c r="V249" t="str">
        <f>_xlfn.XLOOKUP(Table1[[#This Row],[resolution_numeric]],Sheet2!C:C,Sheet2!F:F)</f>
        <v>yes</v>
      </c>
      <c r="W249">
        <f>1</f>
        <v>1</v>
      </c>
      <c r="X249">
        <f>IF(ISBLANK(Table1[[#This Row],[nps_category]]),0,1)</f>
        <v>1</v>
      </c>
    </row>
    <row r="250" spans="1:24" x14ac:dyDescent="0.25">
      <c r="A250" t="s">
        <v>307</v>
      </c>
      <c r="B250" t="s">
        <v>308</v>
      </c>
      <c r="C250" s="1">
        <v>46145</v>
      </c>
      <c r="D250" t="s">
        <v>45</v>
      </c>
      <c r="E250" t="b">
        <v>1</v>
      </c>
      <c r="F250">
        <v>1</v>
      </c>
      <c r="G250" s="2">
        <v>0.51249999999999996</v>
      </c>
      <c r="H250" t="s">
        <v>309</v>
      </c>
      <c r="I250" t="s">
        <v>309</v>
      </c>
      <c r="J250" t="s">
        <v>45</v>
      </c>
      <c r="K250" t="b">
        <v>1</v>
      </c>
      <c r="L250" t="b">
        <v>0</v>
      </c>
      <c r="M250">
        <v>5.5126499999999998</v>
      </c>
      <c r="N250">
        <v>5</v>
      </c>
      <c r="O250" t="s">
        <v>51</v>
      </c>
      <c r="P250">
        <v>0.64690000000000003</v>
      </c>
      <c r="Q250">
        <f>_xlfn.XLOOKUP(Table1[[#This Row],[session_id]],[1]chats_with_feedback!$A:$A,[1]chats_with_feedback!$F:$F)</f>
        <v>5</v>
      </c>
      <c r="R250">
        <f>_xlfn.XLOOKUP(Table1[[#This Row],[session_id]],[1]chats_with_feedback!$A:$A,[1]chats_with_feedback!$G:$G)</f>
        <v>10</v>
      </c>
      <c r="S250">
        <f>_xlfn.XLOOKUP(Table1[[#This Row],[session_id]],[1]chats_with_feedback!$A:$A,[1]chats_with_feedback!$J:$J)</f>
        <v>3</v>
      </c>
      <c r="T250" t="str">
        <f>_xlfn.XLOOKUP(Table1[[#This Row],[csat_score]],Sheet2!A:A,Sheet2!D:D)</f>
        <v>Alta</v>
      </c>
      <c r="U250" t="str">
        <f>_xlfn.XLOOKUP(Table1[[#This Row],[nps_score]],Sheet2!B:B,Sheet2!E:E)</f>
        <v>promoter</v>
      </c>
      <c r="V250" t="str">
        <f>_xlfn.XLOOKUP(Table1[[#This Row],[resolution_numeric]],Sheet2!C:C,Sheet2!F:F)</f>
        <v>yes</v>
      </c>
      <c r="W250">
        <f>1</f>
        <v>1</v>
      </c>
      <c r="X250">
        <f>IF(ISBLANK(Table1[[#This Row],[nps_category]]),0,1)</f>
        <v>1</v>
      </c>
    </row>
    <row r="251" spans="1:24" x14ac:dyDescent="0.25">
      <c r="A251" t="s">
        <v>315</v>
      </c>
      <c r="B251" t="s">
        <v>316</v>
      </c>
      <c r="C251" s="1">
        <v>46145</v>
      </c>
      <c r="D251" t="s">
        <v>22</v>
      </c>
      <c r="E251" t="b">
        <v>0</v>
      </c>
      <c r="F251">
        <v>1</v>
      </c>
      <c r="G251" s="2">
        <v>0.15069444444444444</v>
      </c>
      <c r="H251" t="s">
        <v>317</v>
      </c>
      <c r="I251" t="s">
        <v>317</v>
      </c>
      <c r="J251" t="s">
        <v>22</v>
      </c>
      <c r="K251" t="b">
        <v>0</v>
      </c>
      <c r="L251" t="b">
        <v>0</v>
      </c>
      <c r="M251">
        <v>6.4003833333333295</v>
      </c>
      <c r="N251">
        <v>5</v>
      </c>
      <c r="O251" t="s">
        <v>226</v>
      </c>
      <c r="P251">
        <v>0.41120000000000001</v>
      </c>
      <c r="Q251">
        <f>_xlfn.XLOOKUP(Table1[[#This Row],[session_id]],[1]chats_with_feedback!$A:$A,[1]chats_with_feedback!$F:$F)</f>
        <v>3</v>
      </c>
      <c r="R251">
        <f>_xlfn.XLOOKUP(Table1[[#This Row],[session_id]],[1]chats_with_feedback!$A:$A,[1]chats_with_feedback!$G:$G)</f>
        <v>7</v>
      </c>
      <c r="S251">
        <f>_xlfn.XLOOKUP(Table1[[#This Row],[session_id]],[1]chats_with_feedback!$A:$A,[1]chats_with_feedback!$J:$J)</f>
        <v>2</v>
      </c>
      <c r="T251" t="str">
        <f>_xlfn.XLOOKUP(Table1[[#This Row],[csat_score]],Sheet2!A:A,Sheet2!D:D)</f>
        <v>Media</v>
      </c>
      <c r="U251" t="str">
        <f>_xlfn.XLOOKUP(Table1[[#This Row],[nps_score]],Sheet2!B:B,Sheet2!E:E)</f>
        <v>passive</v>
      </c>
      <c r="V251" t="str">
        <f>_xlfn.XLOOKUP(Table1[[#This Row],[resolution_numeric]],Sheet2!C:C,Sheet2!F:F)</f>
        <v>partial</v>
      </c>
      <c r="W251">
        <f>1</f>
        <v>1</v>
      </c>
      <c r="X251">
        <f>IF(ISBLANK(Table1[[#This Row],[nps_category]]),0,1)</f>
        <v>1</v>
      </c>
    </row>
    <row r="252" spans="1:24" x14ac:dyDescent="0.25">
      <c r="A252" t="s">
        <v>322</v>
      </c>
      <c r="B252" t="s">
        <v>323</v>
      </c>
      <c r="C252" s="1">
        <v>46145</v>
      </c>
      <c r="D252" t="s">
        <v>22</v>
      </c>
      <c r="E252" t="b">
        <v>0</v>
      </c>
      <c r="F252">
        <v>1</v>
      </c>
      <c r="G252" s="2">
        <v>7.5694444444444439E-2</v>
      </c>
      <c r="H252" t="s">
        <v>324</v>
      </c>
      <c r="I252" t="s">
        <v>324</v>
      </c>
      <c r="J252" t="s">
        <v>22</v>
      </c>
      <c r="K252" t="b">
        <v>0</v>
      </c>
      <c r="L252" t="b">
        <v>0</v>
      </c>
      <c r="M252">
        <v>4.5667666666666609</v>
      </c>
      <c r="N252">
        <v>5</v>
      </c>
      <c r="O252" t="s">
        <v>325</v>
      </c>
      <c r="P252">
        <v>0.81879999999999997</v>
      </c>
      <c r="Q252">
        <f>_xlfn.XLOOKUP(Table1[[#This Row],[session_id]],[1]chats_with_feedback!$A:$A,[1]chats_with_feedback!$F:$F)</f>
        <v>5</v>
      </c>
      <c r="R252">
        <f>_xlfn.XLOOKUP(Table1[[#This Row],[session_id]],[1]chats_with_feedback!$A:$A,[1]chats_with_feedback!$G:$G)</f>
        <v>10</v>
      </c>
      <c r="S252">
        <f>_xlfn.XLOOKUP(Table1[[#This Row],[session_id]],[1]chats_with_feedback!$A:$A,[1]chats_with_feedback!$J:$J)</f>
        <v>3</v>
      </c>
      <c r="T252" t="str">
        <f>_xlfn.XLOOKUP(Table1[[#This Row],[csat_score]],Sheet2!A:A,Sheet2!D:D)</f>
        <v>Alta</v>
      </c>
      <c r="U252" t="str">
        <f>_xlfn.XLOOKUP(Table1[[#This Row],[nps_score]],Sheet2!B:B,Sheet2!E:E)</f>
        <v>promoter</v>
      </c>
      <c r="V252" t="str">
        <f>_xlfn.XLOOKUP(Table1[[#This Row],[resolution_numeric]],Sheet2!C:C,Sheet2!F:F)</f>
        <v>yes</v>
      </c>
      <c r="W252">
        <f>1</f>
        <v>1</v>
      </c>
      <c r="X252">
        <f>IF(ISBLANK(Table1[[#This Row],[nps_category]]),0,1)</f>
        <v>1</v>
      </c>
    </row>
    <row r="253" spans="1:24" x14ac:dyDescent="0.25">
      <c r="A253" t="s">
        <v>326</v>
      </c>
      <c r="B253" t="s">
        <v>327</v>
      </c>
      <c r="C253" s="1">
        <v>46145</v>
      </c>
      <c r="D253" t="s">
        <v>45</v>
      </c>
      <c r="E253" t="b">
        <v>1</v>
      </c>
      <c r="F253">
        <v>1</v>
      </c>
      <c r="G253" s="2">
        <v>0.35555555555555557</v>
      </c>
      <c r="H253" t="s">
        <v>328</v>
      </c>
      <c r="I253" t="s">
        <v>328</v>
      </c>
      <c r="J253" t="s">
        <v>45</v>
      </c>
      <c r="K253" t="b">
        <v>1</v>
      </c>
      <c r="L253" t="b">
        <v>0</v>
      </c>
      <c r="M253">
        <v>4.9312166666666597</v>
      </c>
      <c r="N253">
        <v>5</v>
      </c>
      <c r="O253" t="s">
        <v>51</v>
      </c>
      <c r="P253">
        <v>0.41949999999999998</v>
      </c>
      <c r="Q253">
        <f>_xlfn.XLOOKUP(Table1[[#This Row],[session_id]],[1]chats_with_feedback!$A:$A,[1]chats_with_feedback!$F:$F)</f>
        <v>3</v>
      </c>
      <c r="R253">
        <f>_xlfn.XLOOKUP(Table1[[#This Row],[session_id]],[1]chats_with_feedback!$A:$A,[1]chats_with_feedback!$G:$G)</f>
        <v>7</v>
      </c>
      <c r="S253">
        <f>_xlfn.XLOOKUP(Table1[[#This Row],[session_id]],[1]chats_with_feedback!$A:$A,[1]chats_with_feedback!$J:$J)</f>
        <v>2</v>
      </c>
      <c r="T253" t="str">
        <f>_xlfn.XLOOKUP(Table1[[#This Row],[csat_score]],Sheet2!A:A,Sheet2!D:D)</f>
        <v>Media</v>
      </c>
      <c r="U253" t="str">
        <f>_xlfn.XLOOKUP(Table1[[#This Row],[nps_score]],Sheet2!B:B,Sheet2!E:E)</f>
        <v>passive</v>
      </c>
      <c r="V253" t="str">
        <f>_xlfn.XLOOKUP(Table1[[#This Row],[resolution_numeric]],Sheet2!C:C,Sheet2!F:F)</f>
        <v>partial</v>
      </c>
      <c r="W253">
        <f>1</f>
        <v>1</v>
      </c>
      <c r="X253">
        <f>IF(ISBLANK(Table1[[#This Row],[nps_category]]),0,1)</f>
        <v>1</v>
      </c>
    </row>
    <row r="254" spans="1:24" x14ac:dyDescent="0.25">
      <c r="A254" t="s">
        <v>329</v>
      </c>
      <c r="B254" t="s">
        <v>330</v>
      </c>
      <c r="C254" s="1">
        <v>46145</v>
      </c>
      <c r="D254" t="s">
        <v>45</v>
      </c>
      <c r="E254" t="b">
        <v>1</v>
      </c>
      <c r="F254">
        <v>1</v>
      </c>
      <c r="G254" s="2">
        <v>0.28958333333333336</v>
      </c>
      <c r="H254" t="s">
        <v>331</v>
      </c>
      <c r="I254" t="s">
        <v>331</v>
      </c>
      <c r="J254" t="s">
        <v>45</v>
      </c>
      <c r="K254" t="b">
        <v>1</v>
      </c>
      <c r="L254" t="b">
        <v>0</v>
      </c>
      <c r="M254">
        <v>21.6013666666666</v>
      </c>
      <c r="N254">
        <v>5</v>
      </c>
      <c r="O254" t="s">
        <v>226</v>
      </c>
      <c r="P254">
        <v>0.31</v>
      </c>
      <c r="Q254">
        <f>_xlfn.XLOOKUP(Table1[[#This Row],[session_id]],[1]chats_with_feedback!$A:$A,[1]chats_with_feedback!$F:$F)</f>
        <v>2</v>
      </c>
      <c r="R254">
        <f>_xlfn.XLOOKUP(Table1[[#This Row],[session_id]],[1]chats_with_feedback!$A:$A,[1]chats_with_feedback!$G:$G)</f>
        <v>3</v>
      </c>
      <c r="S254">
        <f>_xlfn.XLOOKUP(Table1[[#This Row],[session_id]],[1]chats_with_feedback!$A:$A,[1]chats_with_feedback!$J:$J)</f>
        <v>1</v>
      </c>
      <c r="T254" t="str">
        <f>_xlfn.XLOOKUP(Table1[[#This Row],[csat_score]],Sheet2!A:A,Sheet2!D:D)</f>
        <v>Baja</v>
      </c>
      <c r="U254" t="str">
        <f>_xlfn.XLOOKUP(Table1[[#This Row],[nps_score]],Sheet2!B:B,Sheet2!E:E)</f>
        <v>detractor</v>
      </c>
      <c r="V254" t="str">
        <f>_xlfn.XLOOKUP(Table1[[#This Row],[resolution_numeric]],Sheet2!C:C,Sheet2!F:F)</f>
        <v>no</v>
      </c>
      <c r="W254">
        <f>1</f>
        <v>1</v>
      </c>
      <c r="X254">
        <f>IF(ISBLANK(Table1[[#This Row],[nps_category]]),0,1)</f>
        <v>1</v>
      </c>
    </row>
    <row r="255" spans="1:24" x14ac:dyDescent="0.25">
      <c r="A255" t="s">
        <v>126</v>
      </c>
      <c r="B255" t="s">
        <v>38</v>
      </c>
      <c r="C255" s="1">
        <v>46138</v>
      </c>
      <c r="D255" t="s">
        <v>45</v>
      </c>
      <c r="E255" t="b">
        <v>1</v>
      </c>
      <c r="F255">
        <v>1</v>
      </c>
      <c r="G255" s="2">
        <v>0.93402777777777779</v>
      </c>
      <c r="H255" t="s">
        <v>127</v>
      </c>
      <c r="I255" t="s">
        <v>127</v>
      </c>
      <c r="J255" t="s">
        <v>45</v>
      </c>
      <c r="K255" t="b">
        <v>1</v>
      </c>
      <c r="L255" t="b">
        <v>0</v>
      </c>
      <c r="M255">
        <v>10.021999999999998</v>
      </c>
      <c r="N255">
        <v>5</v>
      </c>
      <c r="O255" t="s">
        <v>128</v>
      </c>
      <c r="P255">
        <v>0.20899999999999999</v>
      </c>
      <c r="Q255">
        <f>_xlfn.XLOOKUP(Table1[[#This Row],[session_id]],[1]chats_with_feedback!$A:$A,[1]chats_with_feedback!$F:$F)</f>
        <v>2</v>
      </c>
      <c r="R255">
        <f>_xlfn.XLOOKUP(Table1[[#This Row],[session_id]],[1]chats_with_feedback!$A:$A,[1]chats_with_feedback!$G:$G)</f>
        <v>3</v>
      </c>
      <c r="S255">
        <f>_xlfn.XLOOKUP(Table1[[#This Row],[session_id]],[1]chats_with_feedback!$A:$A,[1]chats_with_feedback!$J:$J)</f>
        <v>1</v>
      </c>
      <c r="T255" t="str">
        <f>_xlfn.XLOOKUP(Table1[[#This Row],[csat_score]],Sheet2!A:A,Sheet2!D:D)</f>
        <v>Baja</v>
      </c>
      <c r="U255" t="str">
        <f>_xlfn.XLOOKUP(Table1[[#This Row],[nps_score]],Sheet2!B:B,Sheet2!E:E)</f>
        <v>detractor</v>
      </c>
      <c r="V255" t="str">
        <f>_xlfn.XLOOKUP(Table1[[#This Row],[resolution_numeric]],Sheet2!C:C,Sheet2!F:F)</f>
        <v>no</v>
      </c>
      <c r="W255">
        <f>1</f>
        <v>1</v>
      </c>
      <c r="X255">
        <f>IF(ISBLANK(Table1[[#This Row],[nps_category]]),0,1)</f>
        <v>1</v>
      </c>
    </row>
    <row r="256" spans="1:24" x14ac:dyDescent="0.25">
      <c r="A256" t="s">
        <v>348</v>
      </c>
      <c r="B256" t="s">
        <v>349</v>
      </c>
      <c r="C256" s="1">
        <v>46145</v>
      </c>
      <c r="D256" t="s">
        <v>22</v>
      </c>
      <c r="E256" t="b">
        <v>0</v>
      </c>
      <c r="F256">
        <v>1</v>
      </c>
      <c r="G256" s="2">
        <v>0.22430555555555556</v>
      </c>
      <c r="H256" t="s">
        <v>350</v>
      </c>
      <c r="I256" t="s">
        <v>350</v>
      </c>
      <c r="J256" t="s">
        <v>22</v>
      </c>
      <c r="K256" t="b">
        <v>0</v>
      </c>
      <c r="L256" t="b">
        <v>0</v>
      </c>
      <c r="M256">
        <v>4.7372833333333295</v>
      </c>
      <c r="N256">
        <v>5</v>
      </c>
      <c r="O256" t="s">
        <v>351</v>
      </c>
      <c r="P256">
        <v>0.47139999999999999</v>
      </c>
      <c r="Q256">
        <f>_xlfn.XLOOKUP(Table1[[#This Row],[session_id]],[1]chats_with_feedback!$A:$A,[1]chats_with_feedback!$F:$F)</f>
        <v>5</v>
      </c>
      <c r="R256">
        <f>_xlfn.XLOOKUP(Table1[[#This Row],[session_id]],[1]chats_with_feedback!$A:$A,[1]chats_with_feedback!$G:$G)</f>
        <v>10</v>
      </c>
      <c r="S256">
        <f>_xlfn.XLOOKUP(Table1[[#This Row],[session_id]],[1]chats_with_feedback!$A:$A,[1]chats_with_feedback!$J:$J)</f>
        <v>3</v>
      </c>
      <c r="T256" t="str">
        <f>_xlfn.XLOOKUP(Table1[[#This Row],[csat_score]],Sheet2!A:A,Sheet2!D:D)</f>
        <v>Alta</v>
      </c>
      <c r="U256" t="str">
        <f>_xlfn.XLOOKUP(Table1[[#This Row],[nps_score]],Sheet2!B:B,Sheet2!E:E)</f>
        <v>promoter</v>
      </c>
      <c r="V256" t="str">
        <f>_xlfn.XLOOKUP(Table1[[#This Row],[resolution_numeric]],Sheet2!C:C,Sheet2!F:F)</f>
        <v>yes</v>
      </c>
      <c r="W256">
        <f>1</f>
        <v>1</v>
      </c>
      <c r="X256">
        <f>IF(ISBLANK(Table1[[#This Row],[nps_category]]),0,1)</f>
        <v>1</v>
      </c>
    </row>
    <row r="257" spans="1:24" x14ac:dyDescent="0.25">
      <c r="A257" t="s">
        <v>356</v>
      </c>
      <c r="B257" t="s">
        <v>357</v>
      </c>
      <c r="C257" s="1">
        <v>46145</v>
      </c>
      <c r="D257" t="s">
        <v>22</v>
      </c>
      <c r="E257" t="b">
        <v>0</v>
      </c>
      <c r="F257">
        <v>1</v>
      </c>
      <c r="G257" s="2">
        <v>5.7638888888888892E-2</v>
      </c>
      <c r="H257" t="s">
        <v>358</v>
      </c>
      <c r="I257" t="s">
        <v>358</v>
      </c>
      <c r="J257" t="s">
        <v>22</v>
      </c>
      <c r="K257" t="b">
        <v>0</v>
      </c>
      <c r="L257" t="b">
        <v>0</v>
      </c>
      <c r="M257">
        <v>5.117</v>
      </c>
      <c r="N257">
        <v>5</v>
      </c>
      <c r="O257" t="s">
        <v>359</v>
      </c>
      <c r="P257">
        <v>0.20569999999999999</v>
      </c>
      <c r="Q257">
        <f>_xlfn.XLOOKUP(Table1[[#This Row],[session_id]],[1]chats_with_feedback!$A:$A,[1]chats_with_feedback!$F:$F)</f>
        <v>2</v>
      </c>
      <c r="R257">
        <f>_xlfn.XLOOKUP(Table1[[#This Row],[session_id]],[1]chats_with_feedback!$A:$A,[1]chats_with_feedback!$G:$G)</f>
        <v>3</v>
      </c>
      <c r="S257">
        <f>_xlfn.XLOOKUP(Table1[[#This Row],[session_id]],[1]chats_with_feedback!$A:$A,[1]chats_with_feedback!$J:$J)</f>
        <v>1</v>
      </c>
      <c r="T257" t="str">
        <f>_xlfn.XLOOKUP(Table1[[#This Row],[csat_score]],Sheet2!A:A,Sheet2!D:D)</f>
        <v>Baja</v>
      </c>
      <c r="U257" t="str">
        <f>_xlfn.XLOOKUP(Table1[[#This Row],[nps_score]],Sheet2!B:B,Sheet2!E:E)</f>
        <v>detractor</v>
      </c>
      <c r="V257" t="str">
        <f>_xlfn.XLOOKUP(Table1[[#This Row],[resolution_numeric]],Sheet2!C:C,Sheet2!F:F)</f>
        <v>no</v>
      </c>
      <c r="W257">
        <f>1</f>
        <v>1</v>
      </c>
      <c r="X257">
        <f>IF(ISBLANK(Table1[[#This Row],[nps_category]]),0,1)</f>
        <v>1</v>
      </c>
    </row>
    <row r="258" spans="1:24" x14ac:dyDescent="0.25">
      <c r="A258" t="s">
        <v>372</v>
      </c>
      <c r="B258" t="s">
        <v>373</v>
      </c>
      <c r="C258" s="1">
        <v>46145</v>
      </c>
      <c r="D258" t="s">
        <v>45</v>
      </c>
      <c r="E258" t="b">
        <v>1</v>
      </c>
      <c r="F258">
        <v>1</v>
      </c>
      <c r="G258" s="2">
        <v>0.10625</v>
      </c>
      <c r="H258" t="s">
        <v>374</v>
      </c>
      <c r="I258" t="s">
        <v>374</v>
      </c>
      <c r="J258" t="s">
        <v>45</v>
      </c>
      <c r="K258" t="b">
        <v>1</v>
      </c>
      <c r="L258" t="b">
        <v>0</v>
      </c>
      <c r="M258">
        <v>4.5291666666666597</v>
      </c>
      <c r="N258">
        <v>5</v>
      </c>
      <c r="O258" t="s">
        <v>173</v>
      </c>
      <c r="P258">
        <v>0.30370000000000003</v>
      </c>
      <c r="Q258">
        <f>_xlfn.XLOOKUP(Table1[[#This Row],[session_id]],[1]chats_with_feedback!$A:$A,[1]chats_with_feedback!$F:$F)</f>
        <v>3</v>
      </c>
      <c r="R258">
        <f>_xlfn.XLOOKUP(Table1[[#This Row],[session_id]],[1]chats_with_feedback!$A:$A,[1]chats_with_feedback!$G:$G)</f>
        <v>7</v>
      </c>
      <c r="S258">
        <f>_xlfn.XLOOKUP(Table1[[#This Row],[session_id]],[1]chats_with_feedback!$A:$A,[1]chats_with_feedback!$J:$J)</f>
        <v>2</v>
      </c>
      <c r="T258" t="str">
        <f>_xlfn.XLOOKUP(Table1[[#This Row],[csat_score]],Sheet2!A:A,Sheet2!D:D)</f>
        <v>Media</v>
      </c>
      <c r="U258" t="str">
        <f>_xlfn.XLOOKUP(Table1[[#This Row],[nps_score]],Sheet2!B:B,Sheet2!E:E)</f>
        <v>passive</v>
      </c>
      <c r="V258" t="str">
        <f>_xlfn.XLOOKUP(Table1[[#This Row],[resolution_numeric]],Sheet2!C:C,Sheet2!F:F)</f>
        <v>partial</v>
      </c>
      <c r="W258">
        <f>1</f>
        <v>1</v>
      </c>
      <c r="X258">
        <f>IF(ISBLANK(Table1[[#This Row],[nps_category]]),0,1)</f>
        <v>1</v>
      </c>
    </row>
    <row r="259" spans="1:24" x14ac:dyDescent="0.25">
      <c r="A259" t="s">
        <v>375</v>
      </c>
      <c r="B259" t="s">
        <v>376</v>
      </c>
      <c r="C259" s="1">
        <v>46145</v>
      </c>
      <c r="D259" t="s">
        <v>45</v>
      </c>
      <c r="E259" t="b">
        <v>1</v>
      </c>
      <c r="F259">
        <v>1</v>
      </c>
      <c r="G259" s="2">
        <v>0.50277777777777777</v>
      </c>
      <c r="H259" t="s">
        <v>377</v>
      </c>
      <c r="I259" t="s">
        <v>377</v>
      </c>
      <c r="J259" t="s">
        <v>45</v>
      </c>
      <c r="K259" t="b">
        <v>1</v>
      </c>
      <c r="L259" t="b">
        <v>0</v>
      </c>
      <c r="M259">
        <v>4.3512499999999994</v>
      </c>
      <c r="N259">
        <v>5</v>
      </c>
      <c r="O259" t="s">
        <v>51</v>
      </c>
      <c r="P259">
        <v>0.61929999999999996</v>
      </c>
      <c r="Q259">
        <f>_xlfn.XLOOKUP(Table1[[#This Row],[session_id]],[1]chats_with_feedback!$A:$A,[1]chats_with_feedback!$F:$F)</f>
        <v>5</v>
      </c>
      <c r="R259">
        <f>_xlfn.XLOOKUP(Table1[[#This Row],[session_id]],[1]chats_with_feedback!$A:$A,[1]chats_with_feedback!$G:$G)</f>
        <v>10</v>
      </c>
      <c r="S259">
        <f>_xlfn.XLOOKUP(Table1[[#This Row],[session_id]],[1]chats_with_feedback!$A:$A,[1]chats_with_feedback!$J:$J)</f>
        <v>3</v>
      </c>
      <c r="T259" t="str">
        <f>_xlfn.XLOOKUP(Table1[[#This Row],[csat_score]],Sheet2!A:A,Sheet2!D:D)</f>
        <v>Alta</v>
      </c>
      <c r="U259" t="str">
        <f>_xlfn.XLOOKUP(Table1[[#This Row],[nps_score]],Sheet2!B:B,Sheet2!E:E)</f>
        <v>promoter</v>
      </c>
      <c r="V259" t="str">
        <f>_xlfn.XLOOKUP(Table1[[#This Row],[resolution_numeric]],Sheet2!C:C,Sheet2!F:F)</f>
        <v>yes</v>
      </c>
      <c r="W259">
        <f>1</f>
        <v>1</v>
      </c>
      <c r="X259">
        <f>IF(ISBLANK(Table1[[#This Row],[nps_category]]),0,1)</f>
        <v>1</v>
      </c>
    </row>
    <row r="260" spans="1:24" x14ac:dyDescent="0.25">
      <c r="A260" t="s">
        <v>395</v>
      </c>
      <c r="B260" t="s">
        <v>396</v>
      </c>
      <c r="C260" s="1">
        <v>46145</v>
      </c>
      <c r="D260" t="s">
        <v>22</v>
      </c>
      <c r="E260" t="b">
        <v>0</v>
      </c>
      <c r="F260">
        <v>1</v>
      </c>
      <c r="G260" s="2">
        <v>0.5541666666666667</v>
      </c>
      <c r="H260" t="s">
        <v>397</v>
      </c>
      <c r="I260" t="s">
        <v>397</v>
      </c>
      <c r="J260" t="s">
        <v>22</v>
      </c>
      <c r="K260" t="b">
        <v>0</v>
      </c>
      <c r="L260" t="b">
        <v>0</v>
      </c>
      <c r="M260">
        <v>5.3284333333333302</v>
      </c>
      <c r="N260">
        <v>5</v>
      </c>
      <c r="O260" t="s">
        <v>51</v>
      </c>
      <c r="P260">
        <v>0.46110000000000001</v>
      </c>
      <c r="Q260">
        <f>_xlfn.XLOOKUP(Table1[[#This Row],[session_id]],[1]chats_with_feedback!$A:$A,[1]chats_with_feedback!$F:$F)</f>
        <v>5</v>
      </c>
      <c r="R260">
        <f>_xlfn.XLOOKUP(Table1[[#This Row],[session_id]],[1]chats_with_feedback!$A:$A,[1]chats_with_feedback!$G:$G)</f>
        <v>10</v>
      </c>
      <c r="S260">
        <f>_xlfn.XLOOKUP(Table1[[#This Row],[session_id]],[1]chats_with_feedback!$A:$A,[1]chats_with_feedback!$J:$J)</f>
        <v>3</v>
      </c>
      <c r="T260" t="str">
        <f>_xlfn.XLOOKUP(Table1[[#This Row],[csat_score]],Sheet2!A:A,Sheet2!D:D)</f>
        <v>Alta</v>
      </c>
      <c r="U260" t="str">
        <f>_xlfn.XLOOKUP(Table1[[#This Row],[nps_score]],Sheet2!B:B,Sheet2!E:E)</f>
        <v>promoter</v>
      </c>
      <c r="V260" t="str">
        <f>_xlfn.XLOOKUP(Table1[[#This Row],[resolution_numeric]],Sheet2!C:C,Sheet2!F:F)</f>
        <v>yes</v>
      </c>
      <c r="W260">
        <f>1</f>
        <v>1</v>
      </c>
      <c r="X260">
        <f>IF(ISBLANK(Table1[[#This Row],[nps_category]]),0,1)</f>
        <v>1</v>
      </c>
    </row>
    <row r="261" spans="1:24" x14ac:dyDescent="0.25">
      <c r="A261" t="s">
        <v>419</v>
      </c>
      <c r="B261" t="s">
        <v>420</v>
      </c>
      <c r="C261" s="1">
        <v>46145</v>
      </c>
      <c r="D261" t="s">
        <v>22</v>
      </c>
      <c r="E261" t="b">
        <v>0</v>
      </c>
      <c r="F261">
        <v>1</v>
      </c>
      <c r="G261" s="2">
        <v>4.583333333333333E-2</v>
      </c>
      <c r="H261" t="s">
        <v>421</v>
      </c>
      <c r="I261" t="s">
        <v>421</v>
      </c>
      <c r="J261" t="s">
        <v>22</v>
      </c>
      <c r="K261" t="b">
        <v>0</v>
      </c>
      <c r="L261" t="b">
        <v>0</v>
      </c>
      <c r="M261">
        <v>3.2385666666666597</v>
      </c>
      <c r="N261">
        <v>5</v>
      </c>
      <c r="O261" t="s">
        <v>422</v>
      </c>
      <c r="P261">
        <v>0.25750000000000001</v>
      </c>
      <c r="Q261">
        <f>_xlfn.XLOOKUP(Table1[[#This Row],[session_id]],[1]chats_with_feedback!$A:$A,[1]chats_with_feedback!$F:$F)</f>
        <v>2</v>
      </c>
      <c r="R261">
        <f>_xlfn.XLOOKUP(Table1[[#This Row],[session_id]],[1]chats_with_feedback!$A:$A,[1]chats_with_feedback!$G:$G)</f>
        <v>3</v>
      </c>
      <c r="S261">
        <f>_xlfn.XLOOKUP(Table1[[#This Row],[session_id]],[1]chats_with_feedback!$A:$A,[1]chats_with_feedback!$J:$J)</f>
        <v>1</v>
      </c>
      <c r="T261" t="str">
        <f>_xlfn.XLOOKUP(Table1[[#This Row],[csat_score]],Sheet2!A:A,Sheet2!D:D)</f>
        <v>Baja</v>
      </c>
      <c r="U261" t="str">
        <f>_xlfn.XLOOKUP(Table1[[#This Row],[nps_score]],Sheet2!B:B,Sheet2!E:E)</f>
        <v>detractor</v>
      </c>
      <c r="V261" t="str">
        <f>_xlfn.XLOOKUP(Table1[[#This Row],[resolution_numeric]],Sheet2!C:C,Sheet2!F:F)</f>
        <v>no</v>
      </c>
      <c r="W261">
        <f>1</f>
        <v>1</v>
      </c>
      <c r="X261">
        <f>IF(ISBLANK(Table1[[#This Row],[nps_category]]),0,1)</f>
        <v>1</v>
      </c>
    </row>
    <row r="262" spans="1:24" x14ac:dyDescent="0.25">
      <c r="A262" t="s">
        <v>423</v>
      </c>
      <c r="B262" t="s">
        <v>424</v>
      </c>
      <c r="C262" s="1">
        <v>46145</v>
      </c>
      <c r="D262" t="s">
        <v>45</v>
      </c>
      <c r="E262" t="b">
        <v>1</v>
      </c>
      <c r="F262">
        <v>1</v>
      </c>
      <c r="G262" s="2">
        <v>0.62083333333333335</v>
      </c>
      <c r="H262" t="s">
        <v>425</v>
      </c>
      <c r="I262" t="s">
        <v>425</v>
      </c>
      <c r="J262" t="s">
        <v>45</v>
      </c>
      <c r="K262" t="b">
        <v>1</v>
      </c>
      <c r="L262" t="b">
        <v>0</v>
      </c>
      <c r="M262">
        <v>3.7428166666666605</v>
      </c>
      <c r="N262">
        <v>5</v>
      </c>
      <c r="O262" t="s">
        <v>51</v>
      </c>
      <c r="P262">
        <v>0.44719999999999999</v>
      </c>
      <c r="Q262">
        <f>_xlfn.XLOOKUP(Table1[[#This Row],[session_id]],[1]chats_with_feedback!$A:$A,[1]chats_with_feedback!$F:$F)</f>
        <v>5</v>
      </c>
      <c r="R262">
        <f>_xlfn.XLOOKUP(Table1[[#This Row],[session_id]],[1]chats_with_feedback!$A:$A,[1]chats_with_feedback!$G:$G)</f>
        <v>10</v>
      </c>
      <c r="S262">
        <f>_xlfn.XLOOKUP(Table1[[#This Row],[session_id]],[1]chats_with_feedback!$A:$A,[1]chats_with_feedback!$J:$J)</f>
        <v>3</v>
      </c>
      <c r="T262" t="str">
        <f>_xlfn.XLOOKUP(Table1[[#This Row],[csat_score]],Sheet2!A:A,Sheet2!D:D)</f>
        <v>Alta</v>
      </c>
      <c r="U262" t="str">
        <f>_xlfn.XLOOKUP(Table1[[#This Row],[nps_score]],Sheet2!B:B,Sheet2!E:E)</f>
        <v>promoter</v>
      </c>
      <c r="V262" t="str">
        <f>_xlfn.XLOOKUP(Table1[[#This Row],[resolution_numeric]],Sheet2!C:C,Sheet2!F:F)</f>
        <v>yes</v>
      </c>
      <c r="W262">
        <f>1</f>
        <v>1</v>
      </c>
      <c r="X262">
        <f>IF(ISBLANK(Table1[[#This Row],[nps_category]]),0,1)</f>
        <v>1</v>
      </c>
    </row>
    <row r="263" spans="1:24" x14ac:dyDescent="0.25">
      <c r="A263" t="s">
        <v>429</v>
      </c>
      <c r="B263" t="s">
        <v>430</v>
      </c>
      <c r="C263" s="1">
        <v>46145</v>
      </c>
      <c r="D263" t="s">
        <v>45</v>
      </c>
      <c r="E263" t="b">
        <v>1</v>
      </c>
      <c r="F263">
        <v>1</v>
      </c>
      <c r="G263" s="2">
        <v>0.52708333333333335</v>
      </c>
      <c r="H263" t="s">
        <v>431</v>
      </c>
      <c r="I263" t="s">
        <v>431</v>
      </c>
      <c r="J263" t="s">
        <v>45</v>
      </c>
      <c r="K263" t="b">
        <v>1</v>
      </c>
      <c r="L263" t="b">
        <v>0</v>
      </c>
      <c r="M263">
        <v>3.5548166666666599</v>
      </c>
      <c r="N263">
        <v>5</v>
      </c>
      <c r="O263" t="s">
        <v>51</v>
      </c>
      <c r="P263">
        <v>0.4496</v>
      </c>
      <c r="Q263">
        <f>_xlfn.XLOOKUP(Table1[[#This Row],[session_id]],[1]chats_with_feedback!$A:$A,[1]chats_with_feedback!$F:$F)</f>
        <v>5</v>
      </c>
      <c r="R263">
        <f>_xlfn.XLOOKUP(Table1[[#This Row],[session_id]],[1]chats_with_feedback!$A:$A,[1]chats_with_feedback!$G:$G)</f>
        <v>10</v>
      </c>
      <c r="S263">
        <f>_xlfn.XLOOKUP(Table1[[#This Row],[session_id]],[1]chats_with_feedback!$A:$A,[1]chats_with_feedback!$J:$J)</f>
        <v>3</v>
      </c>
      <c r="T263" t="str">
        <f>_xlfn.XLOOKUP(Table1[[#This Row],[csat_score]],Sheet2!A:A,Sheet2!D:D)</f>
        <v>Alta</v>
      </c>
      <c r="U263" t="str">
        <f>_xlfn.XLOOKUP(Table1[[#This Row],[nps_score]],Sheet2!B:B,Sheet2!E:E)</f>
        <v>promoter</v>
      </c>
      <c r="V263" t="str">
        <f>_xlfn.XLOOKUP(Table1[[#This Row],[resolution_numeric]],Sheet2!C:C,Sheet2!F:F)</f>
        <v>yes</v>
      </c>
      <c r="W263">
        <f>1</f>
        <v>1</v>
      </c>
      <c r="X263">
        <f>IF(ISBLANK(Table1[[#This Row],[nps_category]]),0,1)</f>
        <v>1</v>
      </c>
    </row>
    <row r="264" spans="1:24" x14ac:dyDescent="0.25">
      <c r="A264" t="s">
        <v>439</v>
      </c>
      <c r="B264" t="s">
        <v>440</v>
      </c>
      <c r="C264" s="1">
        <v>46145</v>
      </c>
      <c r="D264" t="s">
        <v>22</v>
      </c>
      <c r="E264" t="b">
        <v>0</v>
      </c>
      <c r="F264">
        <v>1</v>
      </c>
      <c r="G264" s="2">
        <v>0.64652777777777781</v>
      </c>
      <c r="H264" t="s">
        <v>441</v>
      </c>
      <c r="I264" t="s">
        <v>441</v>
      </c>
      <c r="J264" t="s">
        <v>22</v>
      </c>
      <c r="K264" t="b">
        <v>0</v>
      </c>
      <c r="L264" t="b">
        <v>0</v>
      </c>
      <c r="M264">
        <v>34.447283333333303</v>
      </c>
      <c r="N264">
        <v>5</v>
      </c>
      <c r="O264" t="s">
        <v>51</v>
      </c>
      <c r="P264">
        <v>0.47310000000000002</v>
      </c>
      <c r="Q264">
        <f>_xlfn.XLOOKUP(Table1[[#This Row],[session_id]],[1]chats_with_feedback!$A:$A,[1]chats_with_feedback!$F:$F)</f>
        <v>3</v>
      </c>
      <c r="R264">
        <f>_xlfn.XLOOKUP(Table1[[#This Row],[session_id]],[1]chats_with_feedback!$A:$A,[1]chats_with_feedback!$G:$G)</f>
        <v>7</v>
      </c>
      <c r="S264">
        <f>_xlfn.XLOOKUP(Table1[[#This Row],[session_id]],[1]chats_with_feedback!$A:$A,[1]chats_with_feedback!$J:$J)</f>
        <v>2</v>
      </c>
      <c r="T264" t="str">
        <f>_xlfn.XLOOKUP(Table1[[#This Row],[csat_score]],Sheet2!A:A,Sheet2!D:D)</f>
        <v>Media</v>
      </c>
      <c r="U264" t="str">
        <f>_xlfn.XLOOKUP(Table1[[#This Row],[nps_score]],Sheet2!B:B,Sheet2!E:E)</f>
        <v>passive</v>
      </c>
      <c r="V264" t="str">
        <f>_xlfn.XLOOKUP(Table1[[#This Row],[resolution_numeric]],Sheet2!C:C,Sheet2!F:F)</f>
        <v>partial</v>
      </c>
      <c r="W264">
        <f>1</f>
        <v>1</v>
      </c>
      <c r="X264">
        <f>IF(ISBLANK(Table1[[#This Row],[nps_category]]),0,1)</f>
        <v>1</v>
      </c>
    </row>
    <row r="265" spans="1:24" x14ac:dyDescent="0.25">
      <c r="A265" t="s">
        <v>446</v>
      </c>
      <c r="B265" t="s">
        <v>447</v>
      </c>
      <c r="C265" s="1">
        <v>46145</v>
      </c>
      <c r="D265" t="s">
        <v>22</v>
      </c>
      <c r="E265" t="b">
        <v>0</v>
      </c>
      <c r="F265">
        <v>1</v>
      </c>
      <c r="G265" s="2">
        <v>0.49861111111111112</v>
      </c>
      <c r="H265" t="s">
        <v>448</v>
      </c>
      <c r="I265" t="s">
        <v>448</v>
      </c>
      <c r="J265" t="s">
        <v>22</v>
      </c>
      <c r="K265" t="b">
        <v>0</v>
      </c>
      <c r="L265" t="b">
        <v>0</v>
      </c>
      <c r="M265">
        <v>4.6883499999999998</v>
      </c>
      <c r="N265">
        <v>5</v>
      </c>
      <c r="O265" t="s">
        <v>51</v>
      </c>
      <c r="P265">
        <v>0.4874</v>
      </c>
      <c r="Q265">
        <f>_xlfn.XLOOKUP(Table1[[#This Row],[session_id]],[1]chats_with_feedback!$A:$A,[1]chats_with_feedback!$F:$F)</f>
        <v>5</v>
      </c>
      <c r="R265">
        <f>_xlfn.XLOOKUP(Table1[[#This Row],[session_id]],[1]chats_with_feedback!$A:$A,[1]chats_with_feedback!$G:$G)</f>
        <v>10</v>
      </c>
      <c r="S265">
        <f>_xlfn.XLOOKUP(Table1[[#This Row],[session_id]],[1]chats_with_feedback!$A:$A,[1]chats_with_feedback!$J:$J)</f>
        <v>3</v>
      </c>
      <c r="T265" t="str">
        <f>_xlfn.XLOOKUP(Table1[[#This Row],[csat_score]],Sheet2!A:A,Sheet2!D:D)</f>
        <v>Alta</v>
      </c>
      <c r="U265" t="str">
        <f>_xlfn.XLOOKUP(Table1[[#This Row],[nps_score]],Sheet2!B:B,Sheet2!E:E)</f>
        <v>promoter</v>
      </c>
      <c r="V265" t="str">
        <f>_xlfn.XLOOKUP(Table1[[#This Row],[resolution_numeric]],Sheet2!C:C,Sheet2!F:F)</f>
        <v>yes</v>
      </c>
      <c r="W265">
        <f>1</f>
        <v>1</v>
      </c>
      <c r="X265">
        <f>IF(ISBLANK(Table1[[#This Row],[nps_category]]),0,1)</f>
        <v>1</v>
      </c>
    </row>
    <row r="266" spans="1:24" x14ac:dyDescent="0.25">
      <c r="A266" t="s">
        <v>451</v>
      </c>
      <c r="B266" t="s">
        <v>452</v>
      </c>
      <c r="C266" s="1">
        <v>46145</v>
      </c>
      <c r="D266" t="s">
        <v>22</v>
      </c>
      <c r="E266" t="b">
        <v>0</v>
      </c>
      <c r="F266">
        <v>1</v>
      </c>
      <c r="G266" s="2">
        <v>2.013888888888889E-2</v>
      </c>
      <c r="H266" t="s">
        <v>453</v>
      </c>
      <c r="I266" t="s">
        <v>453</v>
      </c>
      <c r="J266" t="s">
        <v>22</v>
      </c>
      <c r="K266" t="b">
        <v>0</v>
      </c>
      <c r="L266" t="b">
        <v>0</v>
      </c>
      <c r="M266">
        <v>2.7127499999999998</v>
      </c>
      <c r="N266">
        <v>5</v>
      </c>
      <c r="O266" t="s">
        <v>454</v>
      </c>
      <c r="P266">
        <v>0.25530000000000003</v>
      </c>
      <c r="Q266">
        <f>_xlfn.XLOOKUP(Table1[[#This Row],[session_id]],[1]chats_with_feedback!$A:$A,[1]chats_with_feedback!$F:$F)</f>
        <v>2</v>
      </c>
      <c r="R266">
        <f>_xlfn.XLOOKUP(Table1[[#This Row],[session_id]],[1]chats_with_feedback!$A:$A,[1]chats_with_feedback!$G:$G)</f>
        <v>3</v>
      </c>
      <c r="S266">
        <f>_xlfn.XLOOKUP(Table1[[#This Row],[session_id]],[1]chats_with_feedback!$A:$A,[1]chats_with_feedback!$J:$J)</f>
        <v>1</v>
      </c>
      <c r="T266" t="str">
        <f>_xlfn.XLOOKUP(Table1[[#This Row],[csat_score]],Sheet2!A:A,Sheet2!D:D)</f>
        <v>Baja</v>
      </c>
      <c r="U266" t="str">
        <f>_xlfn.XLOOKUP(Table1[[#This Row],[nps_score]],Sheet2!B:B,Sheet2!E:E)</f>
        <v>detractor</v>
      </c>
      <c r="V266" t="str">
        <f>_xlfn.XLOOKUP(Table1[[#This Row],[resolution_numeric]],Sheet2!C:C,Sheet2!F:F)</f>
        <v>no</v>
      </c>
      <c r="W266">
        <f>1</f>
        <v>1</v>
      </c>
      <c r="X266">
        <f>IF(ISBLANK(Table1[[#This Row],[nps_category]]),0,1)</f>
        <v>1</v>
      </c>
    </row>
    <row r="267" spans="1:24" x14ac:dyDescent="0.25">
      <c r="A267" t="s">
        <v>491</v>
      </c>
      <c r="B267" t="s">
        <v>492</v>
      </c>
      <c r="C267" s="1">
        <v>46145</v>
      </c>
      <c r="D267" t="s">
        <v>22</v>
      </c>
      <c r="E267" t="b">
        <v>0</v>
      </c>
      <c r="F267">
        <v>1</v>
      </c>
      <c r="G267" s="2">
        <v>0.29722222222222222</v>
      </c>
      <c r="H267" t="s">
        <v>493</v>
      </c>
      <c r="I267" t="s">
        <v>493</v>
      </c>
      <c r="J267" t="s">
        <v>22</v>
      </c>
      <c r="K267" t="b">
        <v>0</v>
      </c>
      <c r="L267" t="b">
        <v>0</v>
      </c>
      <c r="M267">
        <v>4.5488499999999998</v>
      </c>
      <c r="N267">
        <v>5</v>
      </c>
      <c r="O267" t="s">
        <v>494</v>
      </c>
      <c r="P267">
        <v>0.2419</v>
      </c>
      <c r="Q267">
        <f>_xlfn.XLOOKUP(Table1[[#This Row],[session_id]],[1]chats_with_feedback!$A:$A,[1]chats_with_feedback!$F:$F)</f>
        <v>2</v>
      </c>
      <c r="R267">
        <f>_xlfn.XLOOKUP(Table1[[#This Row],[session_id]],[1]chats_with_feedback!$A:$A,[1]chats_with_feedback!$G:$G)</f>
        <v>3</v>
      </c>
      <c r="S267">
        <f>_xlfn.XLOOKUP(Table1[[#This Row],[session_id]],[1]chats_with_feedback!$A:$A,[1]chats_with_feedback!$J:$J)</f>
        <v>1</v>
      </c>
      <c r="T267" t="str">
        <f>_xlfn.XLOOKUP(Table1[[#This Row],[csat_score]],Sheet2!A:A,Sheet2!D:D)</f>
        <v>Baja</v>
      </c>
      <c r="U267" t="str">
        <f>_xlfn.XLOOKUP(Table1[[#This Row],[nps_score]],Sheet2!B:B,Sheet2!E:E)</f>
        <v>detractor</v>
      </c>
      <c r="V267" t="str">
        <f>_xlfn.XLOOKUP(Table1[[#This Row],[resolution_numeric]],Sheet2!C:C,Sheet2!F:F)</f>
        <v>no</v>
      </c>
      <c r="W267">
        <f>1</f>
        <v>1</v>
      </c>
      <c r="X267">
        <f>IF(ISBLANK(Table1[[#This Row],[nps_category]]),0,1)</f>
        <v>1</v>
      </c>
    </row>
    <row r="268" spans="1:24" x14ac:dyDescent="0.25">
      <c r="A268" t="s">
        <v>498</v>
      </c>
      <c r="B268" t="s">
        <v>499</v>
      </c>
      <c r="C268" s="1">
        <v>46145</v>
      </c>
      <c r="D268" t="s">
        <v>45</v>
      </c>
      <c r="E268" t="b">
        <v>1</v>
      </c>
      <c r="F268">
        <v>1</v>
      </c>
      <c r="G268" s="2">
        <v>0.44027777777777777</v>
      </c>
      <c r="H268" t="s">
        <v>500</v>
      </c>
      <c r="I268" t="s">
        <v>500</v>
      </c>
      <c r="J268" t="s">
        <v>45</v>
      </c>
      <c r="K268" t="b">
        <v>1</v>
      </c>
      <c r="L268" t="b">
        <v>0</v>
      </c>
      <c r="M268">
        <v>5.0596166666666598</v>
      </c>
      <c r="N268">
        <v>5</v>
      </c>
      <c r="O268" t="s">
        <v>51</v>
      </c>
      <c r="P268">
        <v>0.64419999999999999</v>
      </c>
      <c r="Q268">
        <f>_xlfn.XLOOKUP(Table1[[#This Row],[session_id]],[1]chats_with_feedback!$A:$A,[1]chats_with_feedback!$F:$F)</f>
        <v>5</v>
      </c>
      <c r="R268">
        <f>_xlfn.XLOOKUP(Table1[[#This Row],[session_id]],[1]chats_with_feedback!$A:$A,[1]chats_with_feedback!$G:$G)</f>
        <v>10</v>
      </c>
      <c r="S268">
        <f>_xlfn.XLOOKUP(Table1[[#This Row],[session_id]],[1]chats_with_feedback!$A:$A,[1]chats_with_feedback!$J:$J)</f>
        <v>3</v>
      </c>
      <c r="T268" t="str">
        <f>_xlfn.XLOOKUP(Table1[[#This Row],[csat_score]],Sheet2!A:A,Sheet2!D:D)</f>
        <v>Alta</v>
      </c>
      <c r="U268" t="str">
        <f>_xlfn.XLOOKUP(Table1[[#This Row],[nps_score]],Sheet2!B:B,Sheet2!E:E)</f>
        <v>promoter</v>
      </c>
      <c r="V268" t="str">
        <f>_xlfn.XLOOKUP(Table1[[#This Row],[resolution_numeric]],Sheet2!C:C,Sheet2!F:F)</f>
        <v>yes</v>
      </c>
      <c r="W268">
        <f>1</f>
        <v>1</v>
      </c>
      <c r="X268">
        <f>IF(ISBLANK(Table1[[#This Row],[nps_category]]),0,1)</f>
        <v>1</v>
      </c>
    </row>
    <row r="269" spans="1:24" x14ac:dyDescent="0.25">
      <c r="A269" t="s">
        <v>513</v>
      </c>
      <c r="B269" t="s">
        <v>514</v>
      </c>
      <c r="C269" s="1">
        <v>46145</v>
      </c>
      <c r="D269" t="s">
        <v>22</v>
      </c>
      <c r="E269" t="b">
        <v>0</v>
      </c>
      <c r="F269">
        <v>1</v>
      </c>
      <c r="G269" s="2">
        <v>0.5229166666666667</v>
      </c>
      <c r="H269" t="s">
        <v>515</v>
      </c>
      <c r="I269" t="s">
        <v>515</v>
      </c>
      <c r="J269" t="s">
        <v>22</v>
      </c>
      <c r="K269" t="b">
        <v>0</v>
      </c>
      <c r="L269" t="b">
        <v>0</v>
      </c>
      <c r="M269">
        <v>4.4703666666666599</v>
      </c>
      <c r="N269">
        <v>5</v>
      </c>
      <c r="O269" t="s">
        <v>51</v>
      </c>
      <c r="P269">
        <v>0.4546</v>
      </c>
      <c r="Q269">
        <f>_xlfn.XLOOKUP(Table1[[#This Row],[session_id]],[1]chats_with_feedback!$A:$A,[1]chats_with_feedback!$F:$F)</f>
        <v>5</v>
      </c>
      <c r="R269">
        <f>_xlfn.XLOOKUP(Table1[[#This Row],[session_id]],[1]chats_with_feedback!$A:$A,[1]chats_with_feedback!$G:$G)</f>
        <v>10</v>
      </c>
      <c r="S269">
        <f>_xlfn.XLOOKUP(Table1[[#This Row],[session_id]],[1]chats_with_feedback!$A:$A,[1]chats_with_feedback!$J:$J)</f>
        <v>3</v>
      </c>
      <c r="T269" t="str">
        <f>_xlfn.XLOOKUP(Table1[[#This Row],[csat_score]],Sheet2!A:A,Sheet2!D:D)</f>
        <v>Alta</v>
      </c>
      <c r="U269" t="str">
        <f>_xlfn.XLOOKUP(Table1[[#This Row],[nps_score]],Sheet2!B:B,Sheet2!E:E)</f>
        <v>promoter</v>
      </c>
      <c r="V269" t="str">
        <f>_xlfn.XLOOKUP(Table1[[#This Row],[resolution_numeric]],Sheet2!C:C,Sheet2!F:F)</f>
        <v>yes</v>
      </c>
      <c r="W269">
        <f>1</f>
        <v>1</v>
      </c>
      <c r="X269">
        <f>IF(ISBLANK(Table1[[#This Row],[nps_category]]),0,1)</f>
        <v>1</v>
      </c>
    </row>
    <row r="270" spans="1:24" x14ac:dyDescent="0.25">
      <c r="A270" t="s">
        <v>516</v>
      </c>
      <c r="B270" t="s">
        <v>517</v>
      </c>
      <c r="C270" s="1">
        <v>46145</v>
      </c>
      <c r="D270" t="s">
        <v>45</v>
      </c>
      <c r="E270" t="b">
        <v>1</v>
      </c>
      <c r="F270">
        <v>1</v>
      </c>
      <c r="G270" s="2">
        <v>0.18263888888888888</v>
      </c>
      <c r="H270" t="s">
        <v>518</v>
      </c>
      <c r="I270" t="s">
        <v>518</v>
      </c>
      <c r="J270" t="s">
        <v>45</v>
      </c>
      <c r="K270" t="b">
        <v>1</v>
      </c>
      <c r="L270" t="b">
        <v>0</v>
      </c>
      <c r="M270">
        <v>3.84876666666666</v>
      </c>
      <c r="N270">
        <v>5</v>
      </c>
      <c r="O270" t="s">
        <v>519</v>
      </c>
      <c r="P270">
        <v>0.33019999999999999</v>
      </c>
      <c r="Q270">
        <f>_xlfn.XLOOKUP(Table1[[#This Row],[session_id]],[1]chats_with_feedback!$A:$A,[1]chats_with_feedback!$F:$F)</f>
        <v>3</v>
      </c>
      <c r="R270">
        <f>_xlfn.XLOOKUP(Table1[[#This Row],[session_id]],[1]chats_with_feedback!$A:$A,[1]chats_with_feedback!$G:$G)</f>
        <v>7</v>
      </c>
      <c r="S270">
        <f>_xlfn.XLOOKUP(Table1[[#This Row],[session_id]],[1]chats_with_feedback!$A:$A,[1]chats_with_feedback!$J:$J)</f>
        <v>2</v>
      </c>
      <c r="T270" t="str">
        <f>_xlfn.XLOOKUP(Table1[[#This Row],[csat_score]],Sheet2!A:A,Sheet2!D:D)</f>
        <v>Media</v>
      </c>
      <c r="U270" t="str">
        <f>_xlfn.XLOOKUP(Table1[[#This Row],[nps_score]],Sheet2!B:B,Sheet2!E:E)</f>
        <v>passive</v>
      </c>
      <c r="V270" t="str">
        <f>_xlfn.XLOOKUP(Table1[[#This Row],[resolution_numeric]],Sheet2!C:C,Sheet2!F:F)</f>
        <v>partial</v>
      </c>
      <c r="W270">
        <f>1</f>
        <v>1</v>
      </c>
      <c r="X270">
        <f>IF(ISBLANK(Table1[[#This Row],[nps_category]]),0,1)</f>
        <v>1</v>
      </c>
    </row>
    <row r="271" spans="1:24" x14ac:dyDescent="0.25">
      <c r="A271" t="s">
        <v>523</v>
      </c>
      <c r="B271" t="s">
        <v>524</v>
      </c>
      <c r="C271" s="1">
        <v>46145</v>
      </c>
      <c r="D271" t="s">
        <v>22</v>
      </c>
      <c r="E271" t="b">
        <v>0</v>
      </c>
      <c r="F271">
        <v>1</v>
      </c>
      <c r="G271" s="2">
        <v>0.2638888888888889</v>
      </c>
      <c r="H271" t="s">
        <v>525</v>
      </c>
      <c r="I271" t="s">
        <v>525</v>
      </c>
      <c r="J271" t="s">
        <v>22</v>
      </c>
      <c r="K271" t="b">
        <v>0</v>
      </c>
      <c r="L271" t="b">
        <v>0</v>
      </c>
      <c r="M271">
        <v>3.06486666666666</v>
      </c>
      <c r="N271">
        <v>5</v>
      </c>
      <c r="O271" t="s">
        <v>207</v>
      </c>
      <c r="P271">
        <v>0.32529999999999998</v>
      </c>
      <c r="Q271">
        <f>_xlfn.XLOOKUP(Table1[[#This Row],[session_id]],[1]chats_with_feedback!$A:$A,[1]chats_with_feedback!$F:$F)</f>
        <v>3</v>
      </c>
      <c r="R271">
        <f>_xlfn.XLOOKUP(Table1[[#This Row],[session_id]],[1]chats_with_feedback!$A:$A,[1]chats_with_feedback!$G:$G)</f>
        <v>7</v>
      </c>
      <c r="S271">
        <f>_xlfn.XLOOKUP(Table1[[#This Row],[session_id]],[1]chats_with_feedback!$A:$A,[1]chats_with_feedback!$J:$J)</f>
        <v>2</v>
      </c>
      <c r="T271" t="str">
        <f>_xlfn.XLOOKUP(Table1[[#This Row],[csat_score]],Sheet2!A:A,Sheet2!D:D)</f>
        <v>Media</v>
      </c>
      <c r="U271" t="str">
        <f>_xlfn.XLOOKUP(Table1[[#This Row],[nps_score]],Sheet2!B:B,Sheet2!E:E)</f>
        <v>passive</v>
      </c>
      <c r="V271" t="str">
        <f>_xlfn.XLOOKUP(Table1[[#This Row],[resolution_numeric]],Sheet2!C:C,Sheet2!F:F)</f>
        <v>partial</v>
      </c>
      <c r="W271">
        <f>1</f>
        <v>1</v>
      </c>
      <c r="X271">
        <f>IF(ISBLANK(Table1[[#This Row],[nps_category]]),0,1)</f>
        <v>1</v>
      </c>
    </row>
    <row r="272" spans="1:24" x14ac:dyDescent="0.25">
      <c r="A272" t="s">
        <v>526</v>
      </c>
      <c r="B272" t="s">
        <v>527</v>
      </c>
      <c r="C272" s="1">
        <v>46145</v>
      </c>
      <c r="D272" t="s">
        <v>22</v>
      </c>
      <c r="E272" t="b">
        <v>0</v>
      </c>
      <c r="F272">
        <v>1</v>
      </c>
      <c r="G272" s="2">
        <v>0.53263888888888888</v>
      </c>
      <c r="H272" t="s">
        <v>528</v>
      </c>
      <c r="I272" t="s">
        <v>528</v>
      </c>
      <c r="J272" t="s">
        <v>22</v>
      </c>
      <c r="K272" t="b">
        <v>0</v>
      </c>
      <c r="L272" t="b">
        <v>0</v>
      </c>
      <c r="M272">
        <v>6.0046499999999998</v>
      </c>
      <c r="N272">
        <v>5</v>
      </c>
      <c r="O272" t="s">
        <v>51</v>
      </c>
      <c r="P272">
        <v>0.66169999999999995</v>
      </c>
      <c r="Q272">
        <f>_xlfn.XLOOKUP(Table1[[#This Row],[session_id]],[1]chats_with_feedback!$A:$A,[1]chats_with_feedback!$F:$F)</f>
        <v>5</v>
      </c>
      <c r="R272">
        <f>_xlfn.XLOOKUP(Table1[[#This Row],[session_id]],[1]chats_with_feedback!$A:$A,[1]chats_with_feedback!$G:$G)</f>
        <v>10</v>
      </c>
      <c r="S272">
        <f>_xlfn.XLOOKUP(Table1[[#This Row],[session_id]],[1]chats_with_feedback!$A:$A,[1]chats_with_feedback!$J:$J)</f>
        <v>3</v>
      </c>
      <c r="T272" t="str">
        <f>_xlfn.XLOOKUP(Table1[[#This Row],[csat_score]],Sheet2!A:A,Sheet2!D:D)</f>
        <v>Alta</v>
      </c>
      <c r="U272" t="str">
        <f>_xlfn.XLOOKUP(Table1[[#This Row],[nps_score]],Sheet2!B:B,Sheet2!E:E)</f>
        <v>promoter</v>
      </c>
      <c r="V272" t="str">
        <f>_xlfn.XLOOKUP(Table1[[#This Row],[resolution_numeric]],Sheet2!C:C,Sheet2!F:F)</f>
        <v>yes</v>
      </c>
      <c r="W272">
        <f>1</f>
        <v>1</v>
      </c>
      <c r="X272">
        <f>IF(ISBLANK(Table1[[#This Row],[nps_category]]),0,1)</f>
        <v>1</v>
      </c>
    </row>
    <row r="273" spans="1:24" x14ac:dyDescent="0.25">
      <c r="A273" t="s">
        <v>532</v>
      </c>
      <c r="B273" t="s">
        <v>533</v>
      </c>
      <c r="C273" s="1">
        <v>46145</v>
      </c>
      <c r="D273" t="s">
        <v>45</v>
      </c>
      <c r="E273" t="b">
        <v>1</v>
      </c>
      <c r="F273">
        <v>1</v>
      </c>
      <c r="G273" s="2">
        <v>0.125</v>
      </c>
      <c r="H273" t="s">
        <v>534</v>
      </c>
      <c r="I273" t="s">
        <v>534</v>
      </c>
      <c r="J273" t="s">
        <v>45</v>
      </c>
      <c r="K273" t="b">
        <v>1</v>
      </c>
      <c r="L273" t="b">
        <v>0</v>
      </c>
      <c r="M273">
        <v>4.6447500000000002</v>
      </c>
      <c r="N273">
        <v>5</v>
      </c>
      <c r="O273" t="s">
        <v>51</v>
      </c>
      <c r="P273">
        <v>0.46789999999999998</v>
      </c>
      <c r="Q273">
        <f>_xlfn.XLOOKUP(Table1[[#This Row],[session_id]],[1]chats_with_feedback!$A:$A,[1]chats_with_feedback!$F:$F)</f>
        <v>5</v>
      </c>
      <c r="R273">
        <f>_xlfn.XLOOKUP(Table1[[#This Row],[session_id]],[1]chats_with_feedback!$A:$A,[1]chats_with_feedback!$G:$G)</f>
        <v>10</v>
      </c>
      <c r="S273">
        <f>_xlfn.XLOOKUP(Table1[[#This Row],[session_id]],[1]chats_with_feedback!$A:$A,[1]chats_with_feedback!$J:$J)</f>
        <v>3</v>
      </c>
      <c r="T273" t="str">
        <f>_xlfn.XLOOKUP(Table1[[#This Row],[csat_score]],Sheet2!A:A,Sheet2!D:D)</f>
        <v>Alta</v>
      </c>
      <c r="U273" t="str">
        <f>_xlfn.XLOOKUP(Table1[[#This Row],[nps_score]],Sheet2!B:B,Sheet2!E:E)</f>
        <v>promoter</v>
      </c>
      <c r="V273" t="str">
        <f>_xlfn.XLOOKUP(Table1[[#This Row],[resolution_numeric]],Sheet2!C:C,Sheet2!F:F)</f>
        <v>yes</v>
      </c>
      <c r="W273">
        <f>1</f>
        <v>1</v>
      </c>
      <c r="X273">
        <f>IF(ISBLANK(Table1[[#This Row],[nps_category]]),0,1)</f>
        <v>1</v>
      </c>
    </row>
    <row r="274" spans="1:24" x14ac:dyDescent="0.25">
      <c r="A274" t="s">
        <v>539</v>
      </c>
      <c r="B274" t="s">
        <v>540</v>
      </c>
      <c r="C274" s="1">
        <v>46145</v>
      </c>
      <c r="D274" t="s">
        <v>22</v>
      </c>
      <c r="E274" t="b">
        <v>0</v>
      </c>
      <c r="F274">
        <v>1</v>
      </c>
      <c r="G274" s="2">
        <v>0.32222222222222224</v>
      </c>
      <c r="H274" t="s">
        <v>541</v>
      </c>
      <c r="I274" t="s">
        <v>541</v>
      </c>
      <c r="J274" t="s">
        <v>22</v>
      </c>
      <c r="K274" t="b">
        <v>0</v>
      </c>
      <c r="L274" t="b">
        <v>0</v>
      </c>
      <c r="M274">
        <v>3.3079833333333304</v>
      </c>
      <c r="N274">
        <v>5</v>
      </c>
      <c r="O274" t="s">
        <v>542</v>
      </c>
      <c r="P274">
        <v>0.45400000000000001</v>
      </c>
      <c r="Q274">
        <f>_xlfn.XLOOKUP(Table1[[#This Row],[session_id]],[1]chats_with_feedback!$A:$A,[1]chats_with_feedback!$F:$F)</f>
        <v>5</v>
      </c>
      <c r="R274">
        <f>_xlfn.XLOOKUP(Table1[[#This Row],[session_id]],[1]chats_with_feedback!$A:$A,[1]chats_with_feedback!$G:$G)</f>
        <v>10</v>
      </c>
      <c r="S274">
        <f>_xlfn.XLOOKUP(Table1[[#This Row],[session_id]],[1]chats_with_feedback!$A:$A,[1]chats_with_feedback!$J:$J)</f>
        <v>3</v>
      </c>
      <c r="T274" t="str">
        <f>_xlfn.XLOOKUP(Table1[[#This Row],[csat_score]],Sheet2!A:A,Sheet2!D:D)</f>
        <v>Alta</v>
      </c>
      <c r="U274" t="str">
        <f>_xlfn.XLOOKUP(Table1[[#This Row],[nps_score]],Sheet2!B:B,Sheet2!E:E)</f>
        <v>promoter</v>
      </c>
      <c r="V274" t="str">
        <f>_xlfn.XLOOKUP(Table1[[#This Row],[resolution_numeric]],Sheet2!C:C,Sheet2!F:F)</f>
        <v>yes</v>
      </c>
      <c r="W274">
        <f>1</f>
        <v>1</v>
      </c>
      <c r="X274">
        <f>IF(ISBLANK(Table1[[#This Row],[nps_category]]),0,1)</f>
        <v>1</v>
      </c>
    </row>
    <row r="275" spans="1:24" x14ac:dyDescent="0.25">
      <c r="A275" t="s">
        <v>543</v>
      </c>
      <c r="B275" t="s">
        <v>544</v>
      </c>
      <c r="C275" s="1">
        <v>46145</v>
      </c>
      <c r="D275" t="s">
        <v>45</v>
      </c>
      <c r="E275" t="b">
        <v>1</v>
      </c>
      <c r="F275">
        <v>1</v>
      </c>
      <c r="G275" s="2">
        <v>0.65277777777777779</v>
      </c>
      <c r="H275" t="s">
        <v>545</v>
      </c>
      <c r="I275" t="s">
        <v>545</v>
      </c>
      <c r="J275" t="s">
        <v>45</v>
      </c>
      <c r="K275" t="b">
        <v>1</v>
      </c>
      <c r="L275" t="b">
        <v>0</v>
      </c>
      <c r="M275">
        <v>5.1664500000000002</v>
      </c>
      <c r="N275">
        <v>5</v>
      </c>
      <c r="O275" t="s">
        <v>51</v>
      </c>
      <c r="P275">
        <v>0.43740000000000001</v>
      </c>
      <c r="Q275">
        <f>_xlfn.XLOOKUP(Table1[[#This Row],[session_id]],[1]chats_with_feedback!$A:$A,[1]chats_with_feedback!$F:$F)</f>
        <v>5</v>
      </c>
      <c r="R275">
        <f>_xlfn.XLOOKUP(Table1[[#This Row],[session_id]],[1]chats_with_feedback!$A:$A,[1]chats_with_feedback!$G:$G)</f>
        <v>10</v>
      </c>
      <c r="S275">
        <f>_xlfn.XLOOKUP(Table1[[#This Row],[session_id]],[1]chats_with_feedback!$A:$A,[1]chats_with_feedback!$J:$J)</f>
        <v>3</v>
      </c>
      <c r="T275" t="str">
        <f>_xlfn.XLOOKUP(Table1[[#This Row],[csat_score]],Sheet2!A:A,Sheet2!D:D)</f>
        <v>Alta</v>
      </c>
      <c r="U275" t="str">
        <f>_xlfn.XLOOKUP(Table1[[#This Row],[nps_score]],Sheet2!B:B,Sheet2!E:E)</f>
        <v>promoter</v>
      </c>
      <c r="V275" t="str">
        <f>_xlfn.XLOOKUP(Table1[[#This Row],[resolution_numeric]],Sheet2!C:C,Sheet2!F:F)</f>
        <v>yes</v>
      </c>
      <c r="W275">
        <f>1</f>
        <v>1</v>
      </c>
      <c r="X275">
        <f>IF(ISBLANK(Table1[[#This Row],[nps_category]]),0,1)</f>
        <v>1</v>
      </c>
    </row>
    <row r="276" spans="1:24" x14ac:dyDescent="0.25">
      <c r="A276" t="s">
        <v>546</v>
      </c>
      <c r="B276" t="s">
        <v>547</v>
      </c>
      <c r="C276" s="1">
        <v>46145</v>
      </c>
      <c r="D276" t="s">
        <v>45</v>
      </c>
      <c r="E276" t="b">
        <v>1</v>
      </c>
      <c r="F276">
        <v>1</v>
      </c>
      <c r="G276" s="2">
        <v>0.3659722222222222</v>
      </c>
      <c r="H276" t="s">
        <v>548</v>
      </c>
      <c r="I276" t="s">
        <v>548</v>
      </c>
      <c r="J276" t="s">
        <v>45</v>
      </c>
      <c r="K276" t="b">
        <v>1</v>
      </c>
      <c r="L276" t="b">
        <v>0</v>
      </c>
      <c r="M276">
        <v>5.6080666666666605</v>
      </c>
      <c r="N276">
        <v>5</v>
      </c>
      <c r="O276" t="s">
        <v>51</v>
      </c>
      <c r="P276">
        <v>0.4738</v>
      </c>
      <c r="Q276">
        <f>_xlfn.XLOOKUP(Table1[[#This Row],[session_id]],[1]chats_with_feedback!$A:$A,[1]chats_with_feedback!$F:$F)</f>
        <v>5</v>
      </c>
      <c r="R276">
        <f>_xlfn.XLOOKUP(Table1[[#This Row],[session_id]],[1]chats_with_feedback!$A:$A,[1]chats_with_feedback!$G:$G)</f>
        <v>10</v>
      </c>
      <c r="S276">
        <f>_xlfn.XLOOKUP(Table1[[#This Row],[session_id]],[1]chats_with_feedback!$A:$A,[1]chats_with_feedback!$J:$J)</f>
        <v>3</v>
      </c>
      <c r="T276" t="str">
        <f>_xlfn.XLOOKUP(Table1[[#This Row],[csat_score]],Sheet2!A:A,Sheet2!D:D)</f>
        <v>Alta</v>
      </c>
      <c r="U276" t="str">
        <f>_xlfn.XLOOKUP(Table1[[#This Row],[nps_score]],Sheet2!B:B,Sheet2!E:E)</f>
        <v>promoter</v>
      </c>
      <c r="V276" t="str">
        <f>_xlfn.XLOOKUP(Table1[[#This Row],[resolution_numeric]],Sheet2!C:C,Sheet2!F:F)</f>
        <v>yes</v>
      </c>
      <c r="W276">
        <f>1</f>
        <v>1</v>
      </c>
      <c r="X276">
        <f>IF(ISBLANK(Table1[[#This Row],[nps_category]]),0,1)</f>
        <v>1</v>
      </c>
    </row>
    <row r="277" spans="1:24" x14ac:dyDescent="0.25">
      <c r="A277" t="s">
        <v>565</v>
      </c>
      <c r="B277" t="s">
        <v>566</v>
      </c>
      <c r="C277" s="1">
        <v>46145</v>
      </c>
      <c r="D277" t="s">
        <v>22</v>
      </c>
      <c r="E277" t="b">
        <v>0</v>
      </c>
      <c r="F277">
        <v>1</v>
      </c>
      <c r="G277" s="2">
        <v>0.38541666666666669</v>
      </c>
      <c r="H277" t="s">
        <v>567</v>
      </c>
      <c r="I277" t="s">
        <v>567</v>
      </c>
      <c r="J277" t="s">
        <v>22</v>
      </c>
      <c r="K277" t="b">
        <v>0</v>
      </c>
      <c r="L277" t="b">
        <v>0</v>
      </c>
      <c r="M277">
        <v>4.6943000000000001</v>
      </c>
      <c r="N277">
        <v>5</v>
      </c>
      <c r="O277" t="s">
        <v>51</v>
      </c>
      <c r="P277">
        <v>0.43669999999999998</v>
      </c>
      <c r="Q277">
        <f>_xlfn.XLOOKUP(Table1[[#This Row],[session_id]],[1]chats_with_feedback!$A:$A,[1]chats_with_feedback!$F:$F)</f>
        <v>5</v>
      </c>
      <c r="R277">
        <f>_xlfn.XLOOKUP(Table1[[#This Row],[session_id]],[1]chats_with_feedback!$A:$A,[1]chats_with_feedback!$G:$G)</f>
        <v>10</v>
      </c>
      <c r="S277">
        <f>_xlfn.XLOOKUP(Table1[[#This Row],[session_id]],[1]chats_with_feedback!$A:$A,[1]chats_with_feedback!$J:$J)</f>
        <v>3</v>
      </c>
      <c r="T277" t="str">
        <f>_xlfn.XLOOKUP(Table1[[#This Row],[csat_score]],Sheet2!A:A,Sheet2!D:D)</f>
        <v>Alta</v>
      </c>
      <c r="U277" t="str">
        <f>_xlfn.XLOOKUP(Table1[[#This Row],[nps_score]],Sheet2!B:B,Sheet2!E:E)</f>
        <v>promoter</v>
      </c>
      <c r="V277" t="str">
        <f>_xlfn.XLOOKUP(Table1[[#This Row],[resolution_numeric]],Sheet2!C:C,Sheet2!F:F)</f>
        <v>yes</v>
      </c>
      <c r="W277">
        <f>1</f>
        <v>1</v>
      </c>
      <c r="X277">
        <f>IF(ISBLANK(Table1[[#This Row],[nps_category]]),0,1)</f>
        <v>1</v>
      </c>
    </row>
    <row r="278" spans="1:24" x14ac:dyDescent="0.25">
      <c r="A278" t="s">
        <v>573</v>
      </c>
      <c r="B278" t="s">
        <v>574</v>
      </c>
      <c r="C278" s="1">
        <v>46145</v>
      </c>
      <c r="D278" t="s">
        <v>45</v>
      </c>
      <c r="E278" t="b">
        <v>1</v>
      </c>
      <c r="F278">
        <v>1</v>
      </c>
      <c r="G278" s="2">
        <v>0.31111111111111112</v>
      </c>
      <c r="H278" t="s">
        <v>575</v>
      </c>
      <c r="I278" t="s">
        <v>575</v>
      </c>
      <c r="J278" t="s">
        <v>45</v>
      </c>
      <c r="K278" t="b">
        <v>1</v>
      </c>
      <c r="L278" t="b">
        <v>0</v>
      </c>
      <c r="M278">
        <v>4.3933833333333308</v>
      </c>
      <c r="N278">
        <v>5</v>
      </c>
      <c r="O278" t="s">
        <v>51</v>
      </c>
      <c r="P278">
        <v>0.44130000000000003</v>
      </c>
      <c r="Q278">
        <f>_xlfn.XLOOKUP(Table1[[#This Row],[session_id]],[1]chats_with_feedback!$A:$A,[1]chats_with_feedback!$F:$F)</f>
        <v>5</v>
      </c>
      <c r="R278">
        <f>_xlfn.XLOOKUP(Table1[[#This Row],[session_id]],[1]chats_with_feedback!$A:$A,[1]chats_with_feedback!$G:$G)</f>
        <v>10</v>
      </c>
      <c r="S278">
        <f>_xlfn.XLOOKUP(Table1[[#This Row],[session_id]],[1]chats_with_feedback!$A:$A,[1]chats_with_feedback!$J:$J)</f>
        <v>3</v>
      </c>
      <c r="T278" t="str">
        <f>_xlfn.XLOOKUP(Table1[[#This Row],[csat_score]],Sheet2!A:A,Sheet2!D:D)</f>
        <v>Alta</v>
      </c>
      <c r="U278" t="str">
        <f>_xlfn.XLOOKUP(Table1[[#This Row],[nps_score]],Sheet2!B:B,Sheet2!E:E)</f>
        <v>promoter</v>
      </c>
      <c r="V278" t="str">
        <f>_xlfn.XLOOKUP(Table1[[#This Row],[resolution_numeric]],Sheet2!C:C,Sheet2!F:F)</f>
        <v>yes</v>
      </c>
      <c r="W278">
        <f>1</f>
        <v>1</v>
      </c>
      <c r="X278">
        <f>IF(ISBLANK(Table1[[#This Row],[nps_category]]),0,1)</f>
        <v>1</v>
      </c>
    </row>
    <row r="279" spans="1:24" x14ac:dyDescent="0.25">
      <c r="A279" t="s">
        <v>576</v>
      </c>
      <c r="B279" t="s">
        <v>577</v>
      </c>
      <c r="C279" s="1">
        <v>46145</v>
      </c>
      <c r="D279" t="s">
        <v>22</v>
      </c>
      <c r="E279" t="b">
        <v>0</v>
      </c>
      <c r="F279">
        <v>1</v>
      </c>
      <c r="G279" s="2">
        <v>0.37638888888888888</v>
      </c>
      <c r="H279" t="s">
        <v>578</v>
      </c>
      <c r="I279" t="s">
        <v>578</v>
      </c>
      <c r="J279" t="s">
        <v>22</v>
      </c>
      <c r="K279" t="b">
        <v>0</v>
      </c>
      <c r="L279" t="b">
        <v>0</v>
      </c>
      <c r="M279">
        <v>12.2258</v>
      </c>
      <c r="N279">
        <v>5</v>
      </c>
      <c r="O279" t="s">
        <v>51</v>
      </c>
      <c r="P279">
        <v>0.64759999999999995</v>
      </c>
      <c r="Q279">
        <f>_xlfn.XLOOKUP(Table1[[#This Row],[session_id]],[1]chats_with_feedback!$A:$A,[1]chats_with_feedback!$F:$F)</f>
        <v>5</v>
      </c>
      <c r="R279">
        <f>_xlfn.XLOOKUP(Table1[[#This Row],[session_id]],[1]chats_with_feedback!$A:$A,[1]chats_with_feedback!$G:$G)</f>
        <v>10</v>
      </c>
      <c r="S279">
        <f>_xlfn.XLOOKUP(Table1[[#This Row],[session_id]],[1]chats_with_feedback!$A:$A,[1]chats_with_feedback!$J:$J)</f>
        <v>3</v>
      </c>
      <c r="T279" t="str">
        <f>_xlfn.XLOOKUP(Table1[[#This Row],[csat_score]],Sheet2!A:A,Sheet2!D:D)</f>
        <v>Alta</v>
      </c>
      <c r="U279" t="str">
        <f>_xlfn.XLOOKUP(Table1[[#This Row],[nps_score]],Sheet2!B:B,Sheet2!E:E)</f>
        <v>promoter</v>
      </c>
      <c r="V279" t="str">
        <f>_xlfn.XLOOKUP(Table1[[#This Row],[resolution_numeric]],Sheet2!C:C,Sheet2!F:F)</f>
        <v>yes</v>
      </c>
      <c r="W279">
        <f>1</f>
        <v>1</v>
      </c>
      <c r="X279">
        <f>IF(ISBLANK(Table1[[#This Row],[nps_category]]),0,1)</f>
        <v>1</v>
      </c>
    </row>
    <row r="280" spans="1:24" x14ac:dyDescent="0.25">
      <c r="A280" t="s">
        <v>584</v>
      </c>
      <c r="B280" t="s">
        <v>585</v>
      </c>
      <c r="C280" s="1">
        <v>46145</v>
      </c>
      <c r="D280" t="s">
        <v>22</v>
      </c>
      <c r="E280" t="b">
        <v>0</v>
      </c>
      <c r="F280">
        <v>1</v>
      </c>
      <c r="G280" s="2">
        <v>0.27291666666666664</v>
      </c>
      <c r="H280" t="s">
        <v>586</v>
      </c>
      <c r="I280" t="s">
        <v>586</v>
      </c>
      <c r="J280" t="s">
        <v>22</v>
      </c>
      <c r="K280" t="b">
        <v>0</v>
      </c>
      <c r="L280" t="b">
        <v>0</v>
      </c>
      <c r="M280">
        <v>4.2937500000000002</v>
      </c>
      <c r="N280">
        <v>5</v>
      </c>
      <c r="O280" t="s">
        <v>587</v>
      </c>
      <c r="P280">
        <v>0.26090000000000002</v>
      </c>
      <c r="Q280">
        <f>_xlfn.XLOOKUP(Table1[[#This Row],[session_id]],[1]chats_with_feedback!$A:$A,[1]chats_with_feedback!$F:$F)</f>
        <v>2</v>
      </c>
      <c r="R280">
        <f>_xlfn.XLOOKUP(Table1[[#This Row],[session_id]],[1]chats_with_feedback!$A:$A,[1]chats_with_feedback!$G:$G)</f>
        <v>3</v>
      </c>
      <c r="S280">
        <f>_xlfn.XLOOKUP(Table1[[#This Row],[session_id]],[1]chats_with_feedback!$A:$A,[1]chats_with_feedback!$J:$J)</f>
        <v>1</v>
      </c>
      <c r="T280" t="str">
        <f>_xlfn.XLOOKUP(Table1[[#This Row],[csat_score]],Sheet2!A:A,Sheet2!D:D)</f>
        <v>Baja</v>
      </c>
      <c r="U280" t="str">
        <f>_xlfn.XLOOKUP(Table1[[#This Row],[nps_score]],Sheet2!B:B,Sheet2!E:E)</f>
        <v>detractor</v>
      </c>
      <c r="V280" t="str">
        <f>_xlfn.XLOOKUP(Table1[[#This Row],[resolution_numeric]],Sheet2!C:C,Sheet2!F:F)</f>
        <v>no</v>
      </c>
      <c r="W280">
        <f>1</f>
        <v>1</v>
      </c>
      <c r="X280">
        <f>IF(ISBLANK(Table1[[#This Row],[nps_category]]),0,1)</f>
        <v>1</v>
      </c>
    </row>
    <row r="281" spans="1:24" x14ac:dyDescent="0.25">
      <c r="A281" t="s">
        <v>592</v>
      </c>
      <c r="B281" t="s">
        <v>593</v>
      </c>
      <c r="C281" s="1">
        <v>46145</v>
      </c>
      <c r="D281" t="s">
        <v>45</v>
      </c>
      <c r="E281" t="b">
        <v>1</v>
      </c>
      <c r="F281">
        <v>1</v>
      </c>
      <c r="G281" s="2">
        <v>0.4152777777777778</v>
      </c>
      <c r="H281" t="s">
        <v>594</v>
      </c>
      <c r="I281" t="s">
        <v>594</v>
      </c>
      <c r="J281" t="s">
        <v>45</v>
      </c>
      <c r="K281" t="b">
        <v>1</v>
      </c>
      <c r="L281" t="b">
        <v>0</v>
      </c>
      <c r="M281">
        <v>5.0196499999999995</v>
      </c>
      <c r="N281">
        <v>5</v>
      </c>
      <c r="O281" t="s">
        <v>51</v>
      </c>
      <c r="P281">
        <v>0.64359999999999995</v>
      </c>
      <c r="Q281">
        <f>_xlfn.XLOOKUP(Table1[[#This Row],[session_id]],[1]chats_with_feedback!$A:$A,[1]chats_with_feedback!$F:$F)</f>
        <v>5</v>
      </c>
      <c r="R281">
        <f>_xlfn.XLOOKUP(Table1[[#This Row],[session_id]],[1]chats_with_feedback!$A:$A,[1]chats_with_feedback!$G:$G)</f>
        <v>10</v>
      </c>
      <c r="S281">
        <f>_xlfn.XLOOKUP(Table1[[#This Row],[session_id]],[1]chats_with_feedback!$A:$A,[1]chats_with_feedback!$J:$J)</f>
        <v>3</v>
      </c>
      <c r="T281" t="str">
        <f>_xlfn.XLOOKUP(Table1[[#This Row],[csat_score]],Sheet2!A:A,Sheet2!D:D)</f>
        <v>Alta</v>
      </c>
      <c r="U281" t="str">
        <f>_xlfn.XLOOKUP(Table1[[#This Row],[nps_score]],Sheet2!B:B,Sheet2!E:E)</f>
        <v>promoter</v>
      </c>
      <c r="V281" t="str">
        <f>_xlfn.XLOOKUP(Table1[[#This Row],[resolution_numeric]],Sheet2!C:C,Sheet2!F:F)</f>
        <v>yes</v>
      </c>
      <c r="W281">
        <f>1</f>
        <v>1</v>
      </c>
      <c r="X281">
        <f>IF(ISBLANK(Table1[[#This Row],[nps_category]]),0,1)</f>
        <v>1</v>
      </c>
    </row>
    <row r="282" spans="1:24" x14ac:dyDescent="0.25">
      <c r="A282" t="s">
        <v>595</v>
      </c>
      <c r="B282" t="s">
        <v>596</v>
      </c>
      <c r="C282" s="1">
        <v>46145</v>
      </c>
      <c r="D282" t="s">
        <v>22</v>
      </c>
      <c r="E282" t="b">
        <v>0</v>
      </c>
      <c r="F282">
        <v>1</v>
      </c>
      <c r="G282" s="2">
        <v>0.6069444444444444</v>
      </c>
      <c r="H282" t="s">
        <v>597</v>
      </c>
      <c r="I282" t="s">
        <v>597</v>
      </c>
      <c r="J282" t="s">
        <v>22</v>
      </c>
      <c r="K282" t="b">
        <v>0</v>
      </c>
      <c r="L282" t="b">
        <v>0</v>
      </c>
      <c r="M282">
        <v>5.3386666666666596</v>
      </c>
      <c r="N282">
        <v>5</v>
      </c>
      <c r="O282" t="s">
        <v>51</v>
      </c>
      <c r="P282">
        <v>0.66</v>
      </c>
      <c r="Q282">
        <f>_xlfn.XLOOKUP(Table1[[#This Row],[session_id]],[1]chats_with_feedback!$A:$A,[1]chats_with_feedback!$F:$F)</f>
        <v>5</v>
      </c>
      <c r="R282">
        <f>_xlfn.XLOOKUP(Table1[[#This Row],[session_id]],[1]chats_with_feedback!$A:$A,[1]chats_with_feedback!$G:$G)</f>
        <v>10</v>
      </c>
      <c r="S282">
        <f>_xlfn.XLOOKUP(Table1[[#This Row],[session_id]],[1]chats_with_feedback!$A:$A,[1]chats_with_feedback!$J:$J)</f>
        <v>3</v>
      </c>
      <c r="T282" t="str">
        <f>_xlfn.XLOOKUP(Table1[[#This Row],[csat_score]],Sheet2!A:A,Sheet2!D:D)</f>
        <v>Alta</v>
      </c>
      <c r="U282" t="str">
        <f>_xlfn.XLOOKUP(Table1[[#This Row],[nps_score]],Sheet2!B:B,Sheet2!E:E)</f>
        <v>promoter</v>
      </c>
      <c r="V282" t="str">
        <f>_xlfn.XLOOKUP(Table1[[#This Row],[resolution_numeric]],Sheet2!C:C,Sheet2!F:F)</f>
        <v>yes</v>
      </c>
      <c r="W282">
        <f>1</f>
        <v>1</v>
      </c>
      <c r="X282">
        <f>IF(ISBLANK(Table1[[#This Row],[nps_category]]),0,1)</f>
        <v>1</v>
      </c>
    </row>
    <row r="283" spans="1:24" x14ac:dyDescent="0.25">
      <c r="A283" t="s">
        <v>601</v>
      </c>
      <c r="B283" t="s">
        <v>602</v>
      </c>
      <c r="C283" s="1">
        <v>46145</v>
      </c>
      <c r="D283" t="s">
        <v>22</v>
      </c>
      <c r="E283" t="b">
        <v>0</v>
      </c>
      <c r="F283">
        <v>1</v>
      </c>
      <c r="G283" s="2">
        <v>0.12013888888888889</v>
      </c>
      <c r="H283" t="s">
        <v>603</v>
      </c>
      <c r="I283" t="s">
        <v>603</v>
      </c>
      <c r="J283" t="s">
        <v>22</v>
      </c>
      <c r="K283" t="b">
        <v>0</v>
      </c>
      <c r="L283" t="b">
        <v>0</v>
      </c>
      <c r="M283">
        <v>17.12745</v>
      </c>
      <c r="N283">
        <v>5</v>
      </c>
      <c r="O283" t="s">
        <v>226</v>
      </c>
      <c r="P283">
        <v>0.27389999999999998</v>
      </c>
      <c r="Q283">
        <f>_xlfn.XLOOKUP(Table1[[#This Row],[session_id]],[1]chats_with_feedback!$A:$A,[1]chats_with_feedback!$F:$F)</f>
        <v>2</v>
      </c>
      <c r="R283">
        <f>_xlfn.XLOOKUP(Table1[[#This Row],[session_id]],[1]chats_with_feedback!$A:$A,[1]chats_with_feedback!$G:$G)</f>
        <v>3</v>
      </c>
      <c r="S283">
        <f>_xlfn.XLOOKUP(Table1[[#This Row],[session_id]],[1]chats_with_feedback!$A:$A,[1]chats_with_feedback!$J:$J)</f>
        <v>1</v>
      </c>
      <c r="T283" t="str">
        <f>_xlfn.XLOOKUP(Table1[[#This Row],[csat_score]],Sheet2!A:A,Sheet2!D:D)</f>
        <v>Baja</v>
      </c>
      <c r="U283" t="str">
        <f>_xlfn.XLOOKUP(Table1[[#This Row],[nps_score]],Sheet2!B:B,Sheet2!E:E)</f>
        <v>detractor</v>
      </c>
      <c r="V283" t="str">
        <f>_xlfn.XLOOKUP(Table1[[#This Row],[resolution_numeric]],Sheet2!C:C,Sheet2!F:F)</f>
        <v>no</v>
      </c>
      <c r="W283">
        <f>1</f>
        <v>1</v>
      </c>
      <c r="X283">
        <f>IF(ISBLANK(Table1[[#This Row],[nps_category]]),0,1)</f>
        <v>1</v>
      </c>
    </row>
    <row r="284" spans="1:24" x14ac:dyDescent="0.25">
      <c r="A284" t="s">
        <v>608</v>
      </c>
      <c r="B284" t="s">
        <v>609</v>
      </c>
      <c r="C284" s="1">
        <v>46145</v>
      </c>
      <c r="D284" t="s">
        <v>45</v>
      </c>
      <c r="E284" t="b">
        <v>1</v>
      </c>
      <c r="F284">
        <v>1</v>
      </c>
      <c r="G284" s="2">
        <v>0.1986111111111111</v>
      </c>
      <c r="H284" t="s">
        <v>610</v>
      </c>
      <c r="I284" t="s">
        <v>610</v>
      </c>
      <c r="J284" t="s">
        <v>45</v>
      </c>
      <c r="K284" t="b">
        <v>1</v>
      </c>
      <c r="L284" t="b">
        <v>0</v>
      </c>
      <c r="M284">
        <v>7.4489166666666602</v>
      </c>
      <c r="N284">
        <v>5</v>
      </c>
      <c r="O284" t="s">
        <v>226</v>
      </c>
      <c r="P284">
        <v>0.40160000000000001</v>
      </c>
      <c r="Q284">
        <f>_xlfn.XLOOKUP(Table1[[#This Row],[session_id]],[1]chats_with_feedback!$A:$A,[1]chats_with_feedback!$F:$F)</f>
        <v>3</v>
      </c>
      <c r="R284">
        <f>_xlfn.XLOOKUP(Table1[[#This Row],[session_id]],[1]chats_with_feedback!$A:$A,[1]chats_with_feedback!$G:$G)</f>
        <v>7</v>
      </c>
      <c r="S284">
        <f>_xlfn.XLOOKUP(Table1[[#This Row],[session_id]],[1]chats_with_feedback!$A:$A,[1]chats_with_feedback!$J:$J)</f>
        <v>2</v>
      </c>
      <c r="T284" t="str">
        <f>_xlfn.XLOOKUP(Table1[[#This Row],[csat_score]],Sheet2!A:A,Sheet2!D:D)</f>
        <v>Media</v>
      </c>
      <c r="U284" t="str">
        <f>_xlfn.XLOOKUP(Table1[[#This Row],[nps_score]],Sheet2!B:B,Sheet2!E:E)</f>
        <v>passive</v>
      </c>
      <c r="V284" t="str">
        <f>_xlfn.XLOOKUP(Table1[[#This Row],[resolution_numeric]],Sheet2!C:C,Sheet2!F:F)</f>
        <v>partial</v>
      </c>
      <c r="W284">
        <f>1</f>
        <v>1</v>
      </c>
      <c r="X284">
        <f>IF(ISBLANK(Table1[[#This Row],[nps_category]]),0,1)</f>
        <v>1</v>
      </c>
    </row>
    <row r="285" spans="1:24" x14ac:dyDescent="0.25">
      <c r="A285" t="s">
        <v>318</v>
      </c>
      <c r="B285" t="s">
        <v>319</v>
      </c>
      <c r="C285" s="1">
        <v>46144</v>
      </c>
      <c r="D285" t="s">
        <v>22</v>
      </c>
      <c r="E285" t="b">
        <v>0</v>
      </c>
      <c r="F285">
        <v>1</v>
      </c>
      <c r="G285" s="2">
        <v>0.15694444444444444</v>
      </c>
      <c r="H285" t="s">
        <v>320</v>
      </c>
      <c r="I285" t="s">
        <v>320</v>
      </c>
      <c r="J285" t="s">
        <v>22</v>
      </c>
      <c r="K285" t="b">
        <v>0</v>
      </c>
      <c r="L285" t="b">
        <v>0</v>
      </c>
      <c r="M285">
        <v>7.5992333333333297</v>
      </c>
      <c r="N285">
        <v>5</v>
      </c>
      <c r="O285" t="s">
        <v>321</v>
      </c>
      <c r="P285">
        <v>0.61909999999999998</v>
      </c>
      <c r="Q285">
        <f>_xlfn.XLOOKUP(Table1[[#This Row],[session_id]],[1]chats_with_feedback!$A:$A,[1]chats_with_feedback!$F:$F)</f>
        <v>5</v>
      </c>
      <c r="R285">
        <f>_xlfn.XLOOKUP(Table1[[#This Row],[session_id]],[1]chats_with_feedback!$A:$A,[1]chats_with_feedback!$G:$G)</f>
        <v>10</v>
      </c>
      <c r="S285">
        <f>_xlfn.XLOOKUP(Table1[[#This Row],[session_id]],[1]chats_with_feedback!$A:$A,[1]chats_with_feedback!$J:$J)</f>
        <v>3</v>
      </c>
      <c r="T285" t="str">
        <f>_xlfn.XLOOKUP(Table1[[#This Row],[csat_score]],Sheet2!A:A,Sheet2!D:D)</f>
        <v>Alta</v>
      </c>
      <c r="U285" t="str">
        <f>_xlfn.XLOOKUP(Table1[[#This Row],[nps_score]],Sheet2!B:B,Sheet2!E:E)</f>
        <v>promoter</v>
      </c>
      <c r="V285" t="str">
        <f>_xlfn.XLOOKUP(Table1[[#This Row],[resolution_numeric]],Sheet2!C:C,Sheet2!F:F)</f>
        <v>yes</v>
      </c>
      <c r="W285">
        <f>1</f>
        <v>1</v>
      </c>
      <c r="X285">
        <f>IF(ISBLANK(Table1[[#This Row],[nps_category]]),0,1)</f>
        <v>1</v>
      </c>
    </row>
    <row r="286" spans="1:24" x14ac:dyDescent="0.25">
      <c r="A286" t="s">
        <v>618</v>
      </c>
      <c r="B286" t="s">
        <v>619</v>
      </c>
      <c r="C286" s="1">
        <v>46145</v>
      </c>
      <c r="D286" t="s">
        <v>22</v>
      </c>
      <c r="E286" t="b">
        <v>0</v>
      </c>
      <c r="F286">
        <v>1</v>
      </c>
      <c r="G286" s="2">
        <v>0.41041666666666665</v>
      </c>
      <c r="H286" t="s">
        <v>620</v>
      </c>
      <c r="I286" t="s">
        <v>620</v>
      </c>
      <c r="J286" t="s">
        <v>22</v>
      </c>
      <c r="K286" t="b">
        <v>0</v>
      </c>
      <c r="L286" t="b">
        <v>0</v>
      </c>
      <c r="M286">
        <v>5.8267500000000005</v>
      </c>
      <c r="N286">
        <v>5</v>
      </c>
      <c r="O286" t="s">
        <v>51</v>
      </c>
      <c r="P286">
        <v>0.27639999999999998</v>
      </c>
      <c r="Q286">
        <f>_xlfn.XLOOKUP(Table1[[#This Row],[session_id]],[1]chats_with_feedback!$A:$A,[1]chats_with_feedback!$F:$F)</f>
        <v>2</v>
      </c>
      <c r="R286">
        <f>_xlfn.XLOOKUP(Table1[[#This Row],[session_id]],[1]chats_with_feedback!$A:$A,[1]chats_with_feedback!$G:$G)</f>
        <v>3</v>
      </c>
      <c r="S286">
        <f>_xlfn.XLOOKUP(Table1[[#This Row],[session_id]],[1]chats_with_feedback!$A:$A,[1]chats_with_feedback!$J:$J)</f>
        <v>1</v>
      </c>
      <c r="T286" t="str">
        <f>_xlfn.XLOOKUP(Table1[[#This Row],[csat_score]],Sheet2!A:A,Sheet2!D:D)</f>
        <v>Baja</v>
      </c>
      <c r="U286" t="str">
        <f>_xlfn.XLOOKUP(Table1[[#This Row],[nps_score]],Sheet2!B:B,Sheet2!E:E)</f>
        <v>detractor</v>
      </c>
      <c r="V286" t="str">
        <f>_xlfn.XLOOKUP(Table1[[#This Row],[resolution_numeric]],Sheet2!C:C,Sheet2!F:F)</f>
        <v>no</v>
      </c>
      <c r="W286">
        <f>1</f>
        <v>1</v>
      </c>
      <c r="X286">
        <f>IF(ISBLANK(Table1[[#This Row],[nps_category]]),0,1)</f>
        <v>1</v>
      </c>
    </row>
    <row r="287" spans="1:24" x14ac:dyDescent="0.25">
      <c r="A287" t="s">
        <v>625</v>
      </c>
      <c r="B287" t="s">
        <v>626</v>
      </c>
      <c r="C287" s="1">
        <v>46145</v>
      </c>
      <c r="D287" t="s">
        <v>45</v>
      </c>
      <c r="E287" t="b">
        <v>1</v>
      </c>
      <c r="F287">
        <v>1</v>
      </c>
      <c r="G287" s="2">
        <v>0.57013888888888886</v>
      </c>
      <c r="H287" t="s">
        <v>627</v>
      </c>
      <c r="I287" t="s">
        <v>627</v>
      </c>
      <c r="J287" t="s">
        <v>45</v>
      </c>
      <c r="K287" t="b">
        <v>1</v>
      </c>
      <c r="L287" t="b">
        <v>0</v>
      </c>
      <c r="M287">
        <v>2.8980666666666601</v>
      </c>
      <c r="N287">
        <v>5</v>
      </c>
      <c r="O287" t="s">
        <v>51</v>
      </c>
      <c r="P287">
        <v>0.65920000000000001</v>
      </c>
      <c r="Q287">
        <f>_xlfn.XLOOKUP(Table1[[#This Row],[session_id]],[1]chats_with_feedback!$A:$A,[1]chats_with_feedback!$F:$F)</f>
        <v>5</v>
      </c>
      <c r="R287">
        <f>_xlfn.XLOOKUP(Table1[[#This Row],[session_id]],[1]chats_with_feedback!$A:$A,[1]chats_with_feedback!$G:$G)</f>
        <v>10</v>
      </c>
      <c r="S287">
        <f>_xlfn.XLOOKUP(Table1[[#This Row],[session_id]],[1]chats_with_feedback!$A:$A,[1]chats_with_feedback!$J:$J)</f>
        <v>3</v>
      </c>
      <c r="T287" t="str">
        <f>_xlfn.XLOOKUP(Table1[[#This Row],[csat_score]],Sheet2!A:A,Sheet2!D:D)</f>
        <v>Alta</v>
      </c>
      <c r="U287" t="str">
        <f>_xlfn.XLOOKUP(Table1[[#This Row],[nps_score]],Sheet2!B:B,Sheet2!E:E)</f>
        <v>promoter</v>
      </c>
      <c r="V287" t="str">
        <f>_xlfn.XLOOKUP(Table1[[#This Row],[resolution_numeric]],Sheet2!C:C,Sheet2!F:F)</f>
        <v>yes</v>
      </c>
      <c r="W287">
        <f>1</f>
        <v>1</v>
      </c>
      <c r="X287">
        <f>IF(ISBLANK(Table1[[#This Row],[nps_category]]),0,1)</f>
        <v>1</v>
      </c>
    </row>
    <row r="288" spans="1:24" x14ac:dyDescent="0.25">
      <c r="A288" t="s">
        <v>641</v>
      </c>
      <c r="B288" t="s">
        <v>642</v>
      </c>
      <c r="C288" s="1">
        <v>46145</v>
      </c>
      <c r="D288" t="s">
        <v>45</v>
      </c>
      <c r="E288" t="b">
        <v>1</v>
      </c>
      <c r="F288">
        <v>1</v>
      </c>
      <c r="G288" s="2">
        <v>0.23819444444444443</v>
      </c>
      <c r="H288" t="s">
        <v>643</v>
      </c>
      <c r="I288" t="s">
        <v>643</v>
      </c>
      <c r="J288" t="s">
        <v>45</v>
      </c>
      <c r="K288" t="b">
        <v>1</v>
      </c>
      <c r="L288" t="b">
        <v>0</v>
      </c>
      <c r="M288">
        <v>4.4097833333333307</v>
      </c>
      <c r="N288">
        <v>5</v>
      </c>
      <c r="O288" t="s">
        <v>51</v>
      </c>
      <c r="P288">
        <v>0.42330000000000001</v>
      </c>
      <c r="Q288">
        <f>_xlfn.XLOOKUP(Table1[[#This Row],[session_id]],[1]chats_with_feedback!$A:$A,[1]chats_with_feedback!$F:$F)</f>
        <v>5</v>
      </c>
      <c r="R288">
        <f>_xlfn.XLOOKUP(Table1[[#This Row],[session_id]],[1]chats_with_feedback!$A:$A,[1]chats_with_feedback!$G:$G)</f>
        <v>10</v>
      </c>
      <c r="S288">
        <f>_xlfn.XLOOKUP(Table1[[#This Row],[session_id]],[1]chats_with_feedback!$A:$A,[1]chats_with_feedback!$J:$J)</f>
        <v>3</v>
      </c>
      <c r="T288" t="str">
        <f>_xlfn.XLOOKUP(Table1[[#This Row],[csat_score]],Sheet2!A:A,Sheet2!D:D)</f>
        <v>Alta</v>
      </c>
      <c r="U288" t="str">
        <f>_xlfn.XLOOKUP(Table1[[#This Row],[nps_score]],Sheet2!B:B,Sheet2!E:E)</f>
        <v>promoter</v>
      </c>
      <c r="V288" t="str">
        <f>_xlfn.XLOOKUP(Table1[[#This Row],[resolution_numeric]],Sheet2!C:C,Sheet2!F:F)</f>
        <v>yes</v>
      </c>
      <c r="W288">
        <f>1</f>
        <v>1</v>
      </c>
      <c r="X288">
        <f>IF(ISBLANK(Table1[[#This Row],[nps_category]]),0,1)</f>
        <v>1</v>
      </c>
    </row>
    <row r="289" spans="1:24" x14ac:dyDescent="0.25">
      <c r="A289" t="s">
        <v>651</v>
      </c>
      <c r="B289" t="s">
        <v>652</v>
      </c>
      <c r="C289" s="1">
        <v>46145</v>
      </c>
      <c r="D289" t="s">
        <v>45</v>
      </c>
      <c r="E289" t="b">
        <v>1</v>
      </c>
      <c r="F289">
        <v>1</v>
      </c>
      <c r="G289" s="2">
        <v>0.33680555555555558</v>
      </c>
      <c r="H289" t="s">
        <v>653</v>
      </c>
      <c r="I289" t="s">
        <v>653</v>
      </c>
      <c r="J289" t="s">
        <v>45</v>
      </c>
      <c r="K289" t="b">
        <v>1</v>
      </c>
      <c r="L289" t="b">
        <v>0</v>
      </c>
      <c r="M289">
        <v>6.8237166666666598</v>
      </c>
      <c r="N289">
        <v>5</v>
      </c>
      <c r="O289" t="s">
        <v>51</v>
      </c>
      <c r="P289">
        <v>0.4118</v>
      </c>
      <c r="Q289">
        <f>_xlfn.XLOOKUP(Table1[[#This Row],[session_id]],[1]chats_with_feedback!$A:$A,[1]chats_with_feedback!$F:$F)</f>
        <v>3</v>
      </c>
      <c r="R289">
        <f>_xlfn.XLOOKUP(Table1[[#This Row],[session_id]],[1]chats_with_feedback!$A:$A,[1]chats_with_feedback!$G:$G)</f>
        <v>7</v>
      </c>
      <c r="S289">
        <f>_xlfn.XLOOKUP(Table1[[#This Row],[session_id]],[1]chats_with_feedback!$A:$A,[1]chats_with_feedback!$J:$J)</f>
        <v>2</v>
      </c>
      <c r="T289" t="str">
        <f>_xlfn.XLOOKUP(Table1[[#This Row],[csat_score]],Sheet2!A:A,Sheet2!D:D)</f>
        <v>Media</v>
      </c>
      <c r="U289" t="str">
        <f>_xlfn.XLOOKUP(Table1[[#This Row],[nps_score]],Sheet2!B:B,Sheet2!E:E)</f>
        <v>passive</v>
      </c>
      <c r="V289" t="str">
        <f>_xlfn.XLOOKUP(Table1[[#This Row],[resolution_numeric]],Sheet2!C:C,Sheet2!F:F)</f>
        <v>partial</v>
      </c>
      <c r="W289">
        <f>1</f>
        <v>1</v>
      </c>
      <c r="X289">
        <f>IF(ISBLANK(Table1[[#This Row],[nps_category]]),0,1)</f>
        <v>1</v>
      </c>
    </row>
    <row r="290" spans="1:24" x14ac:dyDescent="0.25">
      <c r="A290" t="s">
        <v>667</v>
      </c>
      <c r="B290" t="s">
        <v>668</v>
      </c>
      <c r="C290" s="1">
        <v>46145</v>
      </c>
      <c r="D290" t="s">
        <v>45</v>
      </c>
      <c r="E290" t="b">
        <v>1</v>
      </c>
      <c r="F290">
        <v>1</v>
      </c>
      <c r="G290" s="2">
        <v>2.8472222222222222E-2</v>
      </c>
      <c r="H290" t="s">
        <v>669</v>
      </c>
      <c r="I290" t="s">
        <v>669</v>
      </c>
      <c r="J290" t="s">
        <v>45</v>
      </c>
      <c r="K290" t="b">
        <v>1</v>
      </c>
      <c r="L290" t="b">
        <v>0</v>
      </c>
      <c r="M290">
        <v>5.9450833333333302</v>
      </c>
      <c r="N290">
        <v>5</v>
      </c>
      <c r="O290" t="s">
        <v>670</v>
      </c>
      <c r="P290">
        <v>0.75009999999999999</v>
      </c>
      <c r="Q290">
        <f>_xlfn.XLOOKUP(Table1[[#This Row],[session_id]],[1]chats_with_feedback!$A:$A,[1]chats_with_feedback!$F:$F)</f>
        <v>5</v>
      </c>
      <c r="R290">
        <f>_xlfn.XLOOKUP(Table1[[#This Row],[session_id]],[1]chats_with_feedback!$A:$A,[1]chats_with_feedback!$G:$G)</f>
        <v>10</v>
      </c>
      <c r="S290">
        <f>_xlfn.XLOOKUP(Table1[[#This Row],[session_id]],[1]chats_with_feedback!$A:$A,[1]chats_with_feedback!$J:$J)</f>
        <v>3</v>
      </c>
      <c r="T290" t="str">
        <f>_xlfn.XLOOKUP(Table1[[#This Row],[csat_score]],Sheet2!A:A,Sheet2!D:D)</f>
        <v>Alta</v>
      </c>
      <c r="U290" t="str">
        <f>_xlfn.XLOOKUP(Table1[[#This Row],[nps_score]],Sheet2!B:B,Sheet2!E:E)</f>
        <v>promoter</v>
      </c>
      <c r="V290" t="str">
        <f>_xlfn.XLOOKUP(Table1[[#This Row],[resolution_numeric]],Sheet2!C:C,Sheet2!F:F)</f>
        <v>yes</v>
      </c>
      <c r="W290">
        <f>1</f>
        <v>1</v>
      </c>
      <c r="X290">
        <f>IF(ISBLANK(Table1[[#This Row],[nps_category]]),0,1)</f>
        <v>1</v>
      </c>
    </row>
    <row r="291" spans="1:24" x14ac:dyDescent="0.25">
      <c r="A291" t="s">
        <v>671</v>
      </c>
      <c r="B291" t="s">
        <v>672</v>
      </c>
      <c r="C291" s="1">
        <v>46145</v>
      </c>
      <c r="D291" t="s">
        <v>45</v>
      </c>
      <c r="E291" t="b">
        <v>1</v>
      </c>
      <c r="F291">
        <v>1</v>
      </c>
      <c r="G291" s="2">
        <v>0.54861111111111116</v>
      </c>
      <c r="H291" t="s">
        <v>673</v>
      </c>
      <c r="I291" t="s">
        <v>673</v>
      </c>
      <c r="J291" t="s">
        <v>45</v>
      </c>
      <c r="K291" t="b">
        <v>1</v>
      </c>
      <c r="L291" t="b">
        <v>0</v>
      </c>
      <c r="M291">
        <v>5.44481666666666</v>
      </c>
      <c r="N291">
        <v>5</v>
      </c>
      <c r="O291" t="s">
        <v>51</v>
      </c>
      <c r="P291">
        <v>0.44740000000000002</v>
      </c>
      <c r="Q291">
        <f>_xlfn.XLOOKUP(Table1[[#This Row],[session_id]],[1]chats_with_feedback!$A:$A,[1]chats_with_feedback!$F:$F)</f>
        <v>5</v>
      </c>
      <c r="R291">
        <f>_xlfn.XLOOKUP(Table1[[#This Row],[session_id]],[1]chats_with_feedback!$A:$A,[1]chats_with_feedback!$G:$G)</f>
        <v>10</v>
      </c>
      <c r="S291">
        <f>_xlfn.XLOOKUP(Table1[[#This Row],[session_id]],[1]chats_with_feedback!$A:$A,[1]chats_with_feedback!$J:$J)</f>
        <v>3</v>
      </c>
      <c r="T291" t="str">
        <f>_xlfn.XLOOKUP(Table1[[#This Row],[csat_score]],Sheet2!A:A,Sheet2!D:D)</f>
        <v>Alta</v>
      </c>
      <c r="U291" t="str">
        <f>_xlfn.XLOOKUP(Table1[[#This Row],[nps_score]],Sheet2!B:B,Sheet2!E:E)</f>
        <v>promoter</v>
      </c>
      <c r="V291" t="str">
        <f>_xlfn.XLOOKUP(Table1[[#This Row],[resolution_numeric]],Sheet2!C:C,Sheet2!F:F)</f>
        <v>yes</v>
      </c>
      <c r="W291">
        <f>1</f>
        <v>1</v>
      </c>
      <c r="X291">
        <f>IF(ISBLANK(Table1[[#This Row],[nps_category]]),0,1)</f>
        <v>1</v>
      </c>
    </row>
    <row r="292" spans="1:24" x14ac:dyDescent="0.25">
      <c r="A292" t="s">
        <v>674</v>
      </c>
      <c r="B292" t="s">
        <v>675</v>
      </c>
      <c r="C292" s="1">
        <v>46145</v>
      </c>
      <c r="D292" t="s">
        <v>45</v>
      </c>
      <c r="E292" t="b">
        <v>1</v>
      </c>
      <c r="F292">
        <v>1</v>
      </c>
      <c r="G292" s="2">
        <v>8.819444444444445E-2</v>
      </c>
      <c r="H292" t="s">
        <v>676</v>
      </c>
      <c r="I292" t="s">
        <v>676</v>
      </c>
      <c r="J292" t="s">
        <v>45</v>
      </c>
      <c r="K292" t="b">
        <v>1</v>
      </c>
      <c r="L292" t="b">
        <v>0</v>
      </c>
      <c r="M292">
        <v>5.0525500000000001</v>
      </c>
      <c r="N292">
        <v>5</v>
      </c>
      <c r="O292" t="s">
        <v>63</v>
      </c>
      <c r="P292">
        <v>0.29930000000000001</v>
      </c>
      <c r="Q292">
        <f>_xlfn.XLOOKUP(Table1[[#This Row],[session_id]],[1]chats_with_feedback!$A:$A,[1]chats_with_feedback!$F:$F)</f>
        <v>3</v>
      </c>
      <c r="R292">
        <f>_xlfn.XLOOKUP(Table1[[#This Row],[session_id]],[1]chats_with_feedback!$A:$A,[1]chats_with_feedback!$G:$G)</f>
        <v>7</v>
      </c>
      <c r="S292">
        <f>_xlfn.XLOOKUP(Table1[[#This Row],[session_id]],[1]chats_with_feedback!$A:$A,[1]chats_with_feedback!$J:$J)</f>
        <v>2</v>
      </c>
      <c r="T292" t="str">
        <f>_xlfn.XLOOKUP(Table1[[#This Row],[csat_score]],Sheet2!A:A,Sheet2!D:D)</f>
        <v>Media</v>
      </c>
      <c r="U292" t="str">
        <f>_xlfn.XLOOKUP(Table1[[#This Row],[nps_score]],Sheet2!B:B,Sheet2!E:E)</f>
        <v>passive</v>
      </c>
      <c r="V292" t="str">
        <f>_xlfn.XLOOKUP(Table1[[#This Row],[resolution_numeric]],Sheet2!C:C,Sheet2!F:F)</f>
        <v>partial</v>
      </c>
      <c r="W292">
        <f>1</f>
        <v>1</v>
      </c>
      <c r="X292">
        <f>IF(ISBLANK(Table1[[#This Row],[nps_category]]),0,1)</f>
        <v>1</v>
      </c>
    </row>
    <row r="293" spans="1:24" x14ac:dyDescent="0.25">
      <c r="A293" t="s">
        <v>684</v>
      </c>
      <c r="B293" t="s">
        <v>685</v>
      </c>
      <c r="C293" s="1">
        <v>46145</v>
      </c>
      <c r="D293" t="s">
        <v>22</v>
      </c>
      <c r="E293" t="b">
        <v>0</v>
      </c>
      <c r="F293">
        <v>1</v>
      </c>
      <c r="G293" s="2">
        <v>0.21319444444444444</v>
      </c>
      <c r="H293" t="s">
        <v>686</v>
      </c>
      <c r="I293" t="s">
        <v>686</v>
      </c>
      <c r="J293" t="s">
        <v>22</v>
      </c>
      <c r="K293" t="b">
        <v>0</v>
      </c>
      <c r="L293" t="b">
        <v>0</v>
      </c>
      <c r="M293">
        <v>4.5474333333333297</v>
      </c>
      <c r="N293">
        <v>5</v>
      </c>
      <c r="O293" t="s">
        <v>687</v>
      </c>
      <c r="P293">
        <v>0.42559999999999998</v>
      </c>
      <c r="Q293">
        <f>_xlfn.XLOOKUP(Table1[[#This Row],[session_id]],[1]chats_with_feedback!$A:$A,[1]chats_with_feedback!$F:$F)</f>
        <v>5</v>
      </c>
      <c r="R293">
        <f>_xlfn.XLOOKUP(Table1[[#This Row],[session_id]],[1]chats_with_feedback!$A:$A,[1]chats_with_feedback!$G:$G)</f>
        <v>10</v>
      </c>
      <c r="S293">
        <f>_xlfn.XLOOKUP(Table1[[#This Row],[session_id]],[1]chats_with_feedback!$A:$A,[1]chats_with_feedback!$J:$J)</f>
        <v>3</v>
      </c>
      <c r="T293" t="str">
        <f>_xlfn.XLOOKUP(Table1[[#This Row],[csat_score]],Sheet2!A:A,Sheet2!D:D)</f>
        <v>Alta</v>
      </c>
      <c r="U293" t="str">
        <f>_xlfn.XLOOKUP(Table1[[#This Row],[nps_score]],Sheet2!B:B,Sheet2!E:E)</f>
        <v>promoter</v>
      </c>
      <c r="V293" t="str">
        <f>_xlfn.XLOOKUP(Table1[[#This Row],[resolution_numeric]],Sheet2!C:C,Sheet2!F:F)</f>
        <v>yes</v>
      </c>
      <c r="W293">
        <f>1</f>
        <v>1</v>
      </c>
      <c r="X293">
        <f>IF(ISBLANK(Table1[[#This Row],[nps_category]]),0,1)</f>
        <v>1</v>
      </c>
    </row>
    <row r="294" spans="1:24" x14ac:dyDescent="0.25">
      <c r="A294" t="s">
        <v>688</v>
      </c>
      <c r="B294" t="s">
        <v>689</v>
      </c>
      <c r="C294" s="1">
        <v>46145</v>
      </c>
      <c r="D294" t="s">
        <v>22</v>
      </c>
      <c r="E294" t="b">
        <v>0</v>
      </c>
      <c r="F294">
        <v>1</v>
      </c>
      <c r="G294" s="2">
        <v>0.16666666666666666</v>
      </c>
      <c r="H294" t="s">
        <v>690</v>
      </c>
      <c r="I294" t="s">
        <v>690</v>
      </c>
      <c r="J294" t="s">
        <v>22</v>
      </c>
      <c r="K294" t="b">
        <v>0</v>
      </c>
      <c r="L294" t="b">
        <v>0</v>
      </c>
      <c r="M294">
        <v>3.7986500000000003</v>
      </c>
      <c r="N294">
        <v>5</v>
      </c>
      <c r="O294" t="s">
        <v>63</v>
      </c>
      <c r="P294">
        <v>0.25590000000000002</v>
      </c>
      <c r="Q294">
        <f>_xlfn.XLOOKUP(Table1[[#This Row],[session_id]],[1]chats_with_feedback!$A:$A,[1]chats_with_feedback!$F:$F)</f>
        <v>2</v>
      </c>
      <c r="R294">
        <f>_xlfn.XLOOKUP(Table1[[#This Row],[session_id]],[1]chats_with_feedback!$A:$A,[1]chats_with_feedback!$G:$G)</f>
        <v>3</v>
      </c>
      <c r="S294">
        <f>_xlfn.XLOOKUP(Table1[[#This Row],[session_id]],[1]chats_with_feedback!$A:$A,[1]chats_with_feedback!$J:$J)</f>
        <v>1</v>
      </c>
      <c r="T294" t="str">
        <f>_xlfn.XLOOKUP(Table1[[#This Row],[csat_score]],Sheet2!A:A,Sheet2!D:D)</f>
        <v>Baja</v>
      </c>
      <c r="U294" t="str">
        <f>_xlfn.XLOOKUP(Table1[[#This Row],[nps_score]],Sheet2!B:B,Sheet2!E:E)</f>
        <v>detractor</v>
      </c>
      <c r="V294" t="str">
        <f>_xlfn.XLOOKUP(Table1[[#This Row],[resolution_numeric]],Sheet2!C:C,Sheet2!F:F)</f>
        <v>no</v>
      </c>
      <c r="W294">
        <f>1</f>
        <v>1</v>
      </c>
      <c r="X294">
        <f>IF(ISBLANK(Table1[[#This Row],[nps_category]]),0,1)</f>
        <v>1</v>
      </c>
    </row>
    <row r="295" spans="1:24" x14ac:dyDescent="0.25">
      <c r="A295" t="s">
        <v>699</v>
      </c>
      <c r="B295" t="s">
        <v>700</v>
      </c>
      <c r="C295" s="1">
        <v>46145</v>
      </c>
      <c r="D295" t="s">
        <v>22</v>
      </c>
      <c r="E295" t="b">
        <v>0</v>
      </c>
      <c r="F295">
        <v>1</v>
      </c>
      <c r="G295" s="2">
        <v>8.3333333333333329E-2</v>
      </c>
      <c r="H295" t="s">
        <v>701</v>
      </c>
      <c r="I295" t="s">
        <v>701</v>
      </c>
      <c r="J295" t="s">
        <v>22</v>
      </c>
      <c r="K295" t="b">
        <v>0</v>
      </c>
      <c r="L295" t="b">
        <v>0</v>
      </c>
      <c r="M295">
        <v>2.8530166666666603</v>
      </c>
      <c r="N295">
        <v>5</v>
      </c>
      <c r="O295" t="s">
        <v>226</v>
      </c>
      <c r="P295">
        <v>0.28339999999999999</v>
      </c>
      <c r="Q295">
        <f>_xlfn.XLOOKUP(Table1[[#This Row],[session_id]],[1]chats_with_feedback!$A:$A,[1]chats_with_feedback!$F:$F)</f>
        <v>3</v>
      </c>
      <c r="R295">
        <f>_xlfn.XLOOKUP(Table1[[#This Row],[session_id]],[1]chats_with_feedback!$A:$A,[1]chats_with_feedback!$G:$G)</f>
        <v>7</v>
      </c>
      <c r="S295">
        <f>_xlfn.XLOOKUP(Table1[[#This Row],[session_id]],[1]chats_with_feedback!$A:$A,[1]chats_with_feedback!$J:$J)</f>
        <v>2</v>
      </c>
      <c r="T295" t="str">
        <f>_xlfn.XLOOKUP(Table1[[#This Row],[csat_score]],Sheet2!A:A,Sheet2!D:D)</f>
        <v>Media</v>
      </c>
      <c r="U295" t="str">
        <f>_xlfn.XLOOKUP(Table1[[#This Row],[nps_score]],Sheet2!B:B,Sheet2!E:E)</f>
        <v>passive</v>
      </c>
      <c r="V295" t="str">
        <f>_xlfn.XLOOKUP(Table1[[#This Row],[resolution_numeric]],Sheet2!C:C,Sheet2!F:F)</f>
        <v>partial</v>
      </c>
      <c r="W295">
        <f>1</f>
        <v>1</v>
      </c>
      <c r="X295">
        <f>IF(ISBLANK(Table1[[#This Row],[nps_category]]),0,1)</f>
        <v>1</v>
      </c>
    </row>
    <row r="296" spans="1:24" x14ac:dyDescent="0.25">
      <c r="A296" t="s">
        <v>702</v>
      </c>
      <c r="B296" t="s">
        <v>703</v>
      </c>
      <c r="C296" s="1">
        <v>46145</v>
      </c>
      <c r="D296" t="s">
        <v>45</v>
      </c>
      <c r="E296" t="b">
        <v>1</v>
      </c>
      <c r="F296">
        <v>1</v>
      </c>
      <c r="G296" s="2">
        <v>0.31944444444444442</v>
      </c>
      <c r="H296" t="s">
        <v>704</v>
      </c>
      <c r="I296" t="s">
        <v>704</v>
      </c>
      <c r="J296" t="s">
        <v>45</v>
      </c>
      <c r="K296" t="b">
        <v>1</v>
      </c>
      <c r="L296" t="b">
        <v>0</v>
      </c>
      <c r="M296">
        <v>4.0930499999999999</v>
      </c>
      <c r="N296">
        <v>5</v>
      </c>
      <c r="O296" t="s">
        <v>51</v>
      </c>
      <c r="P296">
        <v>0.39910000000000001</v>
      </c>
      <c r="Q296">
        <f>_xlfn.XLOOKUP(Table1[[#This Row],[session_id]],[1]chats_with_feedback!$A:$A,[1]chats_with_feedback!$F:$F)</f>
        <v>3</v>
      </c>
      <c r="R296">
        <f>_xlfn.XLOOKUP(Table1[[#This Row],[session_id]],[1]chats_with_feedback!$A:$A,[1]chats_with_feedback!$G:$G)</f>
        <v>7</v>
      </c>
      <c r="S296">
        <f>_xlfn.XLOOKUP(Table1[[#This Row],[session_id]],[1]chats_with_feedback!$A:$A,[1]chats_with_feedback!$J:$J)</f>
        <v>2</v>
      </c>
      <c r="T296" t="str">
        <f>_xlfn.XLOOKUP(Table1[[#This Row],[csat_score]],Sheet2!A:A,Sheet2!D:D)</f>
        <v>Media</v>
      </c>
      <c r="U296" t="str">
        <f>_xlfn.XLOOKUP(Table1[[#This Row],[nps_score]],Sheet2!B:B,Sheet2!E:E)</f>
        <v>passive</v>
      </c>
      <c r="V296" t="str">
        <f>_xlfn.XLOOKUP(Table1[[#This Row],[resolution_numeric]],Sheet2!C:C,Sheet2!F:F)</f>
        <v>partial</v>
      </c>
      <c r="W296">
        <f>1</f>
        <v>1</v>
      </c>
      <c r="X296">
        <f>IF(ISBLANK(Table1[[#This Row],[nps_category]]),0,1)</f>
        <v>1</v>
      </c>
    </row>
    <row r="297" spans="1:24" x14ac:dyDescent="0.25">
      <c r="A297" t="s">
        <v>705</v>
      </c>
      <c r="B297" t="s">
        <v>706</v>
      </c>
      <c r="C297" s="1">
        <v>46145</v>
      </c>
      <c r="D297" t="s">
        <v>45</v>
      </c>
      <c r="E297" t="b">
        <v>1</v>
      </c>
      <c r="F297">
        <v>1</v>
      </c>
      <c r="G297" s="2">
        <v>0.30138888888888887</v>
      </c>
      <c r="H297" t="s">
        <v>707</v>
      </c>
      <c r="I297" t="s">
        <v>707</v>
      </c>
      <c r="J297" t="s">
        <v>45</v>
      </c>
      <c r="K297" t="b">
        <v>1</v>
      </c>
      <c r="L297" t="b">
        <v>0</v>
      </c>
      <c r="M297">
        <v>4.1637333333333295</v>
      </c>
      <c r="N297">
        <v>5</v>
      </c>
      <c r="O297" t="s">
        <v>226</v>
      </c>
      <c r="P297">
        <v>0.42180000000000001</v>
      </c>
      <c r="Q297">
        <f>_xlfn.XLOOKUP(Table1[[#This Row],[session_id]],[1]chats_with_feedback!$A:$A,[1]chats_with_feedback!$F:$F)</f>
        <v>5</v>
      </c>
      <c r="R297">
        <f>_xlfn.XLOOKUP(Table1[[#This Row],[session_id]],[1]chats_with_feedback!$A:$A,[1]chats_with_feedback!$G:$G)</f>
        <v>10</v>
      </c>
      <c r="S297">
        <f>_xlfn.XLOOKUP(Table1[[#This Row],[session_id]],[1]chats_with_feedback!$A:$A,[1]chats_with_feedback!$J:$J)</f>
        <v>3</v>
      </c>
      <c r="T297" t="str">
        <f>_xlfn.XLOOKUP(Table1[[#This Row],[csat_score]],Sheet2!A:A,Sheet2!D:D)</f>
        <v>Alta</v>
      </c>
      <c r="U297" t="str">
        <f>_xlfn.XLOOKUP(Table1[[#This Row],[nps_score]],Sheet2!B:B,Sheet2!E:E)</f>
        <v>promoter</v>
      </c>
      <c r="V297" t="str">
        <f>_xlfn.XLOOKUP(Table1[[#This Row],[resolution_numeric]],Sheet2!C:C,Sheet2!F:F)</f>
        <v>yes</v>
      </c>
      <c r="W297">
        <f>1</f>
        <v>1</v>
      </c>
      <c r="X297">
        <f>IF(ISBLANK(Table1[[#This Row],[nps_category]]),0,1)</f>
        <v>1</v>
      </c>
    </row>
    <row r="298" spans="1:24" x14ac:dyDescent="0.25">
      <c r="A298" t="s">
        <v>708</v>
      </c>
      <c r="B298" t="s">
        <v>709</v>
      </c>
      <c r="C298" s="1">
        <v>46145</v>
      </c>
      <c r="D298" t="s">
        <v>45</v>
      </c>
      <c r="E298" t="b">
        <v>1</v>
      </c>
      <c r="F298">
        <v>1</v>
      </c>
      <c r="G298" s="2">
        <v>0.61250000000000004</v>
      </c>
      <c r="H298" t="s">
        <v>710</v>
      </c>
      <c r="I298" t="s">
        <v>710</v>
      </c>
      <c r="J298" t="s">
        <v>45</v>
      </c>
      <c r="K298" t="b">
        <v>1</v>
      </c>
      <c r="L298" t="b">
        <v>0</v>
      </c>
      <c r="M298">
        <v>4.8484333333333298</v>
      </c>
      <c r="N298">
        <v>5</v>
      </c>
      <c r="O298" t="s">
        <v>51</v>
      </c>
      <c r="P298">
        <v>0.4506</v>
      </c>
      <c r="Q298">
        <f>_xlfn.XLOOKUP(Table1[[#This Row],[session_id]],[1]chats_with_feedback!$A:$A,[1]chats_with_feedback!$F:$F)</f>
        <v>5</v>
      </c>
      <c r="R298">
        <f>_xlfn.XLOOKUP(Table1[[#This Row],[session_id]],[1]chats_with_feedback!$A:$A,[1]chats_with_feedback!$G:$G)</f>
        <v>10</v>
      </c>
      <c r="S298">
        <f>_xlfn.XLOOKUP(Table1[[#This Row],[session_id]],[1]chats_with_feedback!$A:$A,[1]chats_with_feedback!$J:$J)</f>
        <v>3</v>
      </c>
      <c r="T298" t="str">
        <f>_xlfn.XLOOKUP(Table1[[#This Row],[csat_score]],Sheet2!A:A,Sheet2!D:D)</f>
        <v>Alta</v>
      </c>
      <c r="U298" t="str">
        <f>_xlfn.XLOOKUP(Table1[[#This Row],[nps_score]],Sheet2!B:B,Sheet2!E:E)</f>
        <v>promoter</v>
      </c>
      <c r="V298" t="str">
        <f>_xlfn.XLOOKUP(Table1[[#This Row],[resolution_numeric]],Sheet2!C:C,Sheet2!F:F)</f>
        <v>yes</v>
      </c>
      <c r="W298">
        <f>1</f>
        <v>1</v>
      </c>
      <c r="X298">
        <f>IF(ISBLANK(Table1[[#This Row],[nps_category]]),0,1)</f>
        <v>1</v>
      </c>
    </row>
    <row r="299" spans="1:24" x14ac:dyDescent="0.25">
      <c r="A299" t="s">
        <v>721</v>
      </c>
      <c r="B299" t="s">
        <v>722</v>
      </c>
      <c r="C299" s="1">
        <v>46145</v>
      </c>
      <c r="D299" t="s">
        <v>22</v>
      </c>
      <c r="E299" t="b">
        <v>0</v>
      </c>
      <c r="F299">
        <v>1</v>
      </c>
      <c r="G299" s="2">
        <v>0.34166666666666667</v>
      </c>
      <c r="H299" t="s">
        <v>723</v>
      </c>
      <c r="I299" t="s">
        <v>723</v>
      </c>
      <c r="J299" t="s">
        <v>22</v>
      </c>
      <c r="K299" t="b">
        <v>0</v>
      </c>
      <c r="L299" t="b">
        <v>0</v>
      </c>
      <c r="M299">
        <v>5.7715666666666596</v>
      </c>
      <c r="N299">
        <v>5</v>
      </c>
      <c r="O299" t="s">
        <v>542</v>
      </c>
      <c r="P299">
        <v>0.46400000000000002</v>
      </c>
      <c r="Q299">
        <f>_xlfn.XLOOKUP(Table1[[#This Row],[session_id]],[1]chats_with_feedback!$A:$A,[1]chats_with_feedback!$F:$F)</f>
        <v>5</v>
      </c>
      <c r="R299">
        <f>_xlfn.XLOOKUP(Table1[[#This Row],[session_id]],[1]chats_with_feedback!$A:$A,[1]chats_with_feedback!$G:$G)</f>
        <v>10</v>
      </c>
      <c r="S299">
        <f>_xlfn.XLOOKUP(Table1[[#This Row],[session_id]],[1]chats_with_feedback!$A:$A,[1]chats_with_feedback!$J:$J)</f>
        <v>3</v>
      </c>
      <c r="T299" t="str">
        <f>_xlfn.XLOOKUP(Table1[[#This Row],[csat_score]],Sheet2!A:A,Sheet2!D:D)</f>
        <v>Alta</v>
      </c>
      <c r="U299" t="str">
        <f>_xlfn.XLOOKUP(Table1[[#This Row],[nps_score]],Sheet2!B:B,Sheet2!E:E)</f>
        <v>promoter</v>
      </c>
      <c r="V299" t="str">
        <f>_xlfn.XLOOKUP(Table1[[#This Row],[resolution_numeric]],Sheet2!C:C,Sheet2!F:F)</f>
        <v>yes</v>
      </c>
      <c r="W299">
        <f>1</f>
        <v>1</v>
      </c>
      <c r="X299">
        <f>IF(ISBLANK(Table1[[#This Row],[nps_category]]),0,1)</f>
        <v>1</v>
      </c>
    </row>
    <row r="300" spans="1:24" x14ac:dyDescent="0.25">
      <c r="A300" t="s">
        <v>398</v>
      </c>
      <c r="B300" t="s">
        <v>399</v>
      </c>
      <c r="C300" s="1">
        <v>46144</v>
      </c>
      <c r="D300" t="s">
        <v>45</v>
      </c>
      <c r="E300" t="b">
        <v>1</v>
      </c>
      <c r="F300">
        <v>1</v>
      </c>
      <c r="G300" s="2">
        <v>0.14027777777777778</v>
      </c>
      <c r="H300" t="s">
        <v>400</v>
      </c>
      <c r="I300" t="s">
        <v>400</v>
      </c>
      <c r="J300" t="s">
        <v>45</v>
      </c>
      <c r="K300" t="b">
        <v>1</v>
      </c>
      <c r="L300" t="b">
        <v>0</v>
      </c>
      <c r="M300">
        <v>4.39181666666666</v>
      </c>
      <c r="N300">
        <v>5</v>
      </c>
      <c r="O300" t="s">
        <v>401</v>
      </c>
      <c r="P300">
        <v>0.3417</v>
      </c>
      <c r="Q300">
        <f>_xlfn.XLOOKUP(Table1[[#This Row],[session_id]],[1]chats_with_feedback!$A:$A,[1]chats_with_feedback!$F:$F)</f>
        <v>3</v>
      </c>
      <c r="R300">
        <f>_xlfn.XLOOKUP(Table1[[#This Row],[session_id]],[1]chats_with_feedback!$A:$A,[1]chats_with_feedback!$G:$G)</f>
        <v>7</v>
      </c>
      <c r="S300">
        <f>_xlfn.XLOOKUP(Table1[[#This Row],[session_id]],[1]chats_with_feedback!$A:$A,[1]chats_with_feedback!$J:$J)</f>
        <v>2</v>
      </c>
      <c r="T300" t="str">
        <f>_xlfn.XLOOKUP(Table1[[#This Row],[csat_score]],Sheet2!A:A,Sheet2!D:D)</f>
        <v>Media</v>
      </c>
      <c r="U300" t="str">
        <f>_xlfn.XLOOKUP(Table1[[#This Row],[nps_score]],Sheet2!B:B,Sheet2!E:E)</f>
        <v>passive</v>
      </c>
      <c r="V300" t="str">
        <f>_xlfn.XLOOKUP(Table1[[#This Row],[resolution_numeric]],Sheet2!C:C,Sheet2!F:F)</f>
        <v>partial</v>
      </c>
      <c r="W300">
        <f>1</f>
        <v>1</v>
      </c>
      <c r="X300">
        <f>IF(ISBLANK(Table1[[#This Row],[nps_category]]),0,1)</f>
        <v>1</v>
      </c>
    </row>
    <row r="301" spans="1:24" x14ac:dyDescent="0.25">
      <c r="A301" t="s">
        <v>743</v>
      </c>
      <c r="B301" t="s">
        <v>744</v>
      </c>
      <c r="C301" s="1">
        <v>46145</v>
      </c>
      <c r="D301" t="s">
        <v>45</v>
      </c>
      <c r="E301" t="b">
        <v>1</v>
      </c>
      <c r="F301">
        <v>1</v>
      </c>
      <c r="G301" s="2">
        <v>0.40416666666666667</v>
      </c>
      <c r="H301" t="s">
        <v>745</v>
      </c>
      <c r="I301" t="s">
        <v>745</v>
      </c>
      <c r="J301" t="s">
        <v>45</v>
      </c>
      <c r="K301" t="b">
        <v>1</v>
      </c>
      <c r="L301" t="b">
        <v>0</v>
      </c>
      <c r="M301">
        <v>4.8958833333333303</v>
      </c>
      <c r="N301">
        <v>5</v>
      </c>
      <c r="O301" t="s">
        <v>51</v>
      </c>
      <c r="P301">
        <v>0.65739999999999998</v>
      </c>
      <c r="Q301">
        <f>_xlfn.XLOOKUP(Table1[[#This Row],[session_id]],[1]chats_with_feedback!$A:$A,[1]chats_with_feedback!$F:$F)</f>
        <v>5</v>
      </c>
      <c r="R301">
        <f>_xlfn.XLOOKUP(Table1[[#This Row],[session_id]],[1]chats_with_feedback!$A:$A,[1]chats_with_feedback!$G:$G)</f>
        <v>10</v>
      </c>
      <c r="S301">
        <f>_xlfn.XLOOKUP(Table1[[#This Row],[session_id]],[1]chats_with_feedback!$A:$A,[1]chats_with_feedback!$J:$J)</f>
        <v>3</v>
      </c>
      <c r="T301" t="str">
        <f>_xlfn.XLOOKUP(Table1[[#This Row],[csat_score]],Sheet2!A:A,Sheet2!D:D)</f>
        <v>Alta</v>
      </c>
      <c r="U301" t="str">
        <f>_xlfn.XLOOKUP(Table1[[#This Row],[nps_score]],Sheet2!B:B,Sheet2!E:E)</f>
        <v>promoter</v>
      </c>
      <c r="V301" t="str">
        <f>_xlfn.XLOOKUP(Table1[[#This Row],[resolution_numeric]],Sheet2!C:C,Sheet2!F:F)</f>
        <v>yes</v>
      </c>
      <c r="W301">
        <f>1</f>
        <v>1</v>
      </c>
      <c r="X301">
        <f>IF(ISBLANK(Table1[[#This Row],[nps_category]]),0,1)</f>
        <v>1</v>
      </c>
    </row>
    <row r="302" spans="1:24" x14ac:dyDescent="0.25">
      <c r="A302" t="s">
        <v>746</v>
      </c>
      <c r="B302" t="s">
        <v>747</v>
      </c>
      <c r="C302" s="1">
        <v>46145</v>
      </c>
      <c r="D302" t="s">
        <v>45</v>
      </c>
      <c r="E302" t="b">
        <v>1</v>
      </c>
      <c r="F302">
        <v>1</v>
      </c>
      <c r="G302" s="2">
        <v>0.26874999999999999</v>
      </c>
      <c r="H302" t="s">
        <v>748</v>
      </c>
      <c r="I302" t="s">
        <v>748</v>
      </c>
      <c r="J302" t="s">
        <v>45</v>
      </c>
      <c r="K302" t="b">
        <v>1</v>
      </c>
      <c r="L302" t="b">
        <v>0</v>
      </c>
      <c r="M302">
        <v>4.9480666666666604</v>
      </c>
      <c r="N302">
        <v>5</v>
      </c>
      <c r="O302" t="s">
        <v>226</v>
      </c>
      <c r="P302">
        <v>0.371</v>
      </c>
      <c r="Q302">
        <f>_xlfn.XLOOKUP(Table1[[#This Row],[session_id]],[1]chats_with_feedback!$A:$A,[1]chats_with_feedback!$F:$F)</f>
        <v>3</v>
      </c>
      <c r="R302">
        <f>_xlfn.XLOOKUP(Table1[[#This Row],[session_id]],[1]chats_with_feedback!$A:$A,[1]chats_with_feedback!$G:$G)</f>
        <v>7</v>
      </c>
      <c r="S302">
        <f>_xlfn.XLOOKUP(Table1[[#This Row],[session_id]],[1]chats_with_feedback!$A:$A,[1]chats_with_feedback!$J:$J)</f>
        <v>2</v>
      </c>
      <c r="T302" t="str">
        <f>_xlfn.XLOOKUP(Table1[[#This Row],[csat_score]],Sheet2!A:A,Sheet2!D:D)</f>
        <v>Media</v>
      </c>
      <c r="U302" t="str">
        <f>_xlfn.XLOOKUP(Table1[[#This Row],[nps_score]],Sheet2!B:B,Sheet2!E:E)</f>
        <v>passive</v>
      </c>
      <c r="V302" t="str">
        <f>_xlfn.XLOOKUP(Table1[[#This Row],[resolution_numeric]],Sheet2!C:C,Sheet2!F:F)</f>
        <v>partial</v>
      </c>
      <c r="W302">
        <f>1</f>
        <v>1</v>
      </c>
      <c r="X302">
        <f>IF(ISBLANK(Table1[[#This Row],[nps_category]]),0,1)</f>
        <v>1</v>
      </c>
    </row>
    <row r="303" spans="1:24" x14ac:dyDescent="0.25">
      <c r="A303" t="s">
        <v>753</v>
      </c>
      <c r="B303" t="s">
        <v>754</v>
      </c>
      <c r="C303" s="1">
        <v>46145</v>
      </c>
      <c r="D303" t="s">
        <v>22</v>
      </c>
      <c r="E303" t="b">
        <v>0</v>
      </c>
      <c r="F303">
        <v>1</v>
      </c>
      <c r="G303" s="2">
        <v>0.24166666666666667</v>
      </c>
      <c r="H303" t="s">
        <v>755</v>
      </c>
      <c r="I303" t="s">
        <v>755</v>
      </c>
      <c r="J303" t="s">
        <v>22</v>
      </c>
      <c r="K303" t="b">
        <v>0</v>
      </c>
      <c r="L303" t="b">
        <v>0</v>
      </c>
      <c r="M303">
        <v>3.66661666666666</v>
      </c>
      <c r="N303">
        <v>5</v>
      </c>
      <c r="O303" t="s">
        <v>32</v>
      </c>
      <c r="P303">
        <v>0.2923</v>
      </c>
      <c r="Q303">
        <f>_xlfn.XLOOKUP(Table1[[#This Row],[session_id]],[1]chats_with_feedback!$A:$A,[1]chats_with_feedback!$F:$F)</f>
        <v>3</v>
      </c>
      <c r="R303">
        <f>_xlfn.XLOOKUP(Table1[[#This Row],[session_id]],[1]chats_with_feedback!$A:$A,[1]chats_with_feedback!$G:$G)</f>
        <v>7</v>
      </c>
      <c r="S303">
        <f>_xlfn.XLOOKUP(Table1[[#This Row],[session_id]],[1]chats_with_feedback!$A:$A,[1]chats_with_feedback!$J:$J)</f>
        <v>2</v>
      </c>
      <c r="T303" t="str">
        <f>_xlfn.XLOOKUP(Table1[[#This Row],[csat_score]],Sheet2!A:A,Sheet2!D:D)</f>
        <v>Media</v>
      </c>
      <c r="U303" t="str">
        <f>_xlfn.XLOOKUP(Table1[[#This Row],[nps_score]],Sheet2!B:B,Sheet2!E:E)</f>
        <v>passive</v>
      </c>
      <c r="V303" t="str">
        <f>_xlfn.XLOOKUP(Table1[[#This Row],[resolution_numeric]],Sheet2!C:C,Sheet2!F:F)</f>
        <v>partial</v>
      </c>
      <c r="W303">
        <f>1</f>
        <v>1</v>
      </c>
      <c r="X303">
        <f>IF(ISBLANK(Table1[[#This Row],[nps_category]]),0,1)</f>
        <v>1</v>
      </c>
    </row>
    <row r="304" spans="1:24" x14ac:dyDescent="0.25">
      <c r="A304" t="s">
        <v>762</v>
      </c>
      <c r="B304" t="s">
        <v>763</v>
      </c>
      <c r="C304" s="1">
        <v>46145</v>
      </c>
      <c r="D304" t="s">
        <v>45</v>
      </c>
      <c r="E304" t="b">
        <v>1</v>
      </c>
      <c r="F304">
        <v>1</v>
      </c>
      <c r="G304" s="2">
        <v>0.59027777777777779</v>
      </c>
      <c r="H304" t="s">
        <v>764</v>
      </c>
      <c r="I304" t="s">
        <v>764</v>
      </c>
      <c r="J304" t="s">
        <v>45</v>
      </c>
      <c r="K304" t="b">
        <v>1</v>
      </c>
      <c r="L304" t="b">
        <v>0</v>
      </c>
      <c r="M304">
        <v>3.9371</v>
      </c>
      <c r="N304">
        <v>5</v>
      </c>
      <c r="O304" t="s">
        <v>51</v>
      </c>
      <c r="P304">
        <v>0.49230000000000002</v>
      </c>
      <c r="Q304">
        <f>_xlfn.XLOOKUP(Table1[[#This Row],[session_id]],[1]chats_with_feedback!$A:$A,[1]chats_with_feedback!$F:$F)</f>
        <v>5</v>
      </c>
      <c r="R304">
        <f>_xlfn.XLOOKUP(Table1[[#This Row],[session_id]],[1]chats_with_feedback!$A:$A,[1]chats_with_feedback!$G:$G)</f>
        <v>10</v>
      </c>
      <c r="S304">
        <f>_xlfn.XLOOKUP(Table1[[#This Row],[session_id]],[1]chats_with_feedback!$A:$A,[1]chats_with_feedback!$J:$J)</f>
        <v>3</v>
      </c>
      <c r="T304" t="str">
        <f>_xlfn.XLOOKUP(Table1[[#This Row],[csat_score]],Sheet2!A:A,Sheet2!D:D)</f>
        <v>Alta</v>
      </c>
      <c r="U304" t="str">
        <f>_xlfn.XLOOKUP(Table1[[#This Row],[nps_score]],Sheet2!B:B,Sheet2!E:E)</f>
        <v>promoter</v>
      </c>
      <c r="V304" t="str">
        <f>_xlfn.XLOOKUP(Table1[[#This Row],[resolution_numeric]],Sheet2!C:C,Sheet2!F:F)</f>
        <v>yes</v>
      </c>
      <c r="W304">
        <f>1</f>
        <v>1</v>
      </c>
      <c r="X304">
        <f>IF(ISBLANK(Table1[[#This Row],[nps_category]]),0,1)</f>
        <v>1</v>
      </c>
    </row>
    <row r="305" spans="1:24" x14ac:dyDescent="0.25">
      <c r="A305" t="s">
        <v>765</v>
      </c>
      <c r="B305" t="s">
        <v>766</v>
      </c>
      <c r="C305" s="1">
        <v>46145</v>
      </c>
      <c r="D305" t="s">
        <v>22</v>
      </c>
      <c r="E305" t="b">
        <v>0</v>
      </c>
      <c r="F305">
        <v>1</v>
      </c>
      <c r="G305" s="2">
        <v>0.65694444444444444</v>
      </c>
      <c r="H305" t="s">
        <v>767</v>
      </c>
      <c r="I305" t="s">
        <v>767</v>
      </c>
      <c r="J305" t="s">
        <v>22</v>
      </c>
      <c r="K305" t="b">
        <v>0</v>
      </c>
      <c r="L305" t="b">
        <v>0</v>
      </c>
      <c r="M305">
        <v>3.8196666666666603</v>
      </c>
      <c r="N305">
        <v>5</v>
      </c>
      <c r="O305" t="s">
        <v>51</v>
      </c>
      <c r="P305">
        <v>0.63190000000000002</v>
      </c>
      <c r="Q305">
        <f>_xlfn.XLOOKUP(Table1[[#This Row],[session_id]],[1]chats_with_feedback!$A:$A,[1]chats_with_feedback!$F:$F)</f>
        <v>5</v>
      </c>
      <c r="R305">
        <f>_xlfn.XLOOKUP(Table1[[#This Row],[session_id]],[1]chats_with_feedback!$A:$A,[1]chats_with_feedback!$G:$G)</f>
        <v>10</v>
      </c>
      <c r="S305">
        <f>_xlfn.XLOOKUP(Table1[[#This Row],[session_id]],[1]chats_with_feedback!$A:$A,[1]chats_with_feedback!$J:$J)</f>
        <v>3</v>
      </c>
      <c r="T305" t="str">
        <f>_xlfn.XLOOKUP(Table1[[#This Row],[csat_score]],Sheet2!A:A,Sheet2!D:D)</f>
        <v>Alta</v>
      </c>
      <c r="U305" t="str">
        <f>_xlfn.XLOOKUP(Table1[[#This Row],[nps_score]],Sheet2!B:B,Sheet2!E:E)</f>
        <v>promoter</v>
      </c>
      <c r="V305" t="str">
        <f>_xlfn.XLOOKUP(Table1[[#This Row],[resolution_numeric]],Sheet2!C:C,Sheet2!F:F)</f>
        <v>yes</v>
      </c>
      <c r="W305">
        <f>1</f>
        <v>1</v>
      </c>
      <c r="X305">
        <f>IF(ISBLANK(Table1[[#This Row],[nps_category]]),0,1)</f>
        <v>1</v>
      </c>
    </row>
    <row r="306" spans="1:24" x14ac:dyDescent="0.25">
      <c r="A306" t="s">
        <v>804</v>
      </c>
      <c r="B306" t="s">
        <v>805</v>
      </c>
      <c r="C306" s="1">
        <v>46145</v>
      </c>
      <c r="D306" t="s">
        <v>45</v>
      </c>
      <c r="E306" t="b">
        <v>1</v>
      </c>
      <c r="F306">
        <v>1</v>
      </c>
      <c r="G306" s="2">
        <v>0.20902777777777778</v>
      </c>
      <c r="H306" t="s">
        <v>806</v>
      </c>
      <c r="I306" t="s">
        <v>806</v>
      </c>
      <c r="J306" t="s">
        <v>45</v>
      </c>
      <c r="K306" t="b">
        <v>1</v>
      </c>
      <c r="L306" t="b">
        <v>0</v>
      </c>
      <c r="M306">
        <v>4.8567166666666592</v>
      </c>
      <c r="N306">
        <v>5</v>
      </c>
      <c r="O306" t="s">
        <v>226</v>
      </c>
      <c r="P306">
        <v>0.2409</v>
      </c>
      <c r="Q306">
        <f>_xlfn.XLOOKUP(Table1[[#This Row],[session_id]],[1]chats_with_feedback!$A:$A,[1]chats_with_feedback!$F:$F)</f>
        <v>2</v>
      </c>
      <c r="R306">
        <f>_xlfn.XLOOKUP(Table1[[#This Row],[session_id]],[1]chats_with_feedback!$A:$A,[1]chats_with_feedback!$G:$G)</f>
        <v>3</v>
      </c>
      <c r="S306">
        <f>_xlfn.XLOOKUP(Table1[[#This Row],[session_id]],[1]chats_with_feedback!$A:$A,[1]chats_with_feedback!$J:$J)</f>
        <v>1</v>
      </c>
      <c r="T306" t="str">
        <f>_xlfn.XLOOKUP(Table1[[#This Row],[csat_score]],Sheet2!A:A,Sheet2!D:D)</f>
        <v>Baja</v>
      </c>
      <c r="U306" t="str">
        <f>_xlfn.XLOOKUP(Table1[[#This Row],[nps_score]],Sheet2!B:B,Sheet2!E:E)</f>
        <v>detractor</v>
      </c>
      <c r="V306" t="str">
        <f>_xlfn.XLOOKUP(Table1[[#This Row],[resolution_numeric]],Sheet2!C:C,Sheet2!F:F)</f>
        <v>no</v>
      </c>
      <c r="W306">
        <f>1</f>
        <v>1</v>
      </c>
      <c r="X306">
        <f>IF(ISBLANK(Table1[[#This Row],[nps_category]]),0,1)</f>
        <v>1</v>
      </c>
    </row>
    <row r="307" spans="1:24" x14ac:dyDescent="0.25">
      <c r="A307" t="s">
        <v>807</v>
      </c>
      <c r="B307" t="s">
        <v>808</v>
      </c>
      <c r="C307" s="1">
        <v>46145</v>
      </c>
      <c r="D307" t="s">
        <v>22</v>
      </c>
      <c r="E307" t="b">
        <v>0</v>
      </c>
      <c r="F307">
        <v>1</v>
      </c>
      <c r="G307" s="2">
        <v>0.36041666666666666</v>
      </c>
      <c r="H307" t="s">
        <v>809</v>
      </c>
      <c r="I307" t="s">
        <v>809</v>
      </c>
      <c r="J307" t="s">
        <v>22</v>
      </c>
      <c r="K307" t="b">
        <v>0</v>
      </c>
      <c r="L307" t="b">
        <v>0</v>
      </c>
      <c r="M307">
        <v>3.72583333333333</v>
      </c>
      <c r="N307">
        <v>5</v>
      </c>
      <c r="O307" t="s">
        <v>51</v>
      </c>
      <c r="P307">
        <v>0.4803</v>
      </c>
      <c r="Q307">
        <f>_xlfn.XLOOKUP(Table1[[#This Row],[session_id]],[1]chats_with_feedback!$A:$A,[1]chats_with_feedback!$F:$F)</f>
        <v>5</v>
      </c>
      <c r="R307">
        <f>_xlfn.XLOOKUP(Table1[[#This Row],[session_id]],[1]chats_with_feedback!$A:$A,[1]chats_with_feedback!$G:$G)</f>
        <v>10</v>
      </c>
      <c r="S307">
        <f>_xlfn.XLOOKUP(Table1[[#This Row],[session_id]],[1]chats_with_feedback!$A:$A,[1]chats_with_feedback!$J:$J)</f>
        <v>3</v>
      </c>
      <c r="T307" t="str">
        <f>_xlfn.XLOOKUP(Table1[[#This Row],[csat_score]],Sheet2!A:A,Sheet2!D:D)</f>
        <v>Alta</v>
      </c>
      <c r="U307" t="str">
        <f>_xlfn.XLOOKUP(Table1[[#This Row],[nps_score]],Sheet2!B:B,Sheet2!E:E)</f>
        <v>promoter</v>
      </c>
      <c r="V307" t="str">
        <f>_xlfn.XLOOKUP(Table1[[#This Row],[resolution_numeric]],Sheet2!C:C,Sheet2!F:F)</f>
        <v>yes</v>
      </c>
      <c r="W307">
        <f>1</f>
        <v>1</v>
      </c>
      <c r="X307">
        <f>IF(ISBLANK(Table1[[#This Row],[nps_category]]),0,1)</f>
        <v>1</v>
      </c>
    </row>
    <row r="308" spans="1:24" x14ac:dyDescent="0.25">
      <c r="A308" t="s">
        <v>821</v>
      </c>
      <c r="B308" t="s">
        <v>822</v>
      </c>
      <c r="C308" s="1">
        <v>46145</v>
      </c>
      <c r="D308" t="s">
        <v>22</v>
      </c>
      <c r="E308" t="b">
        <v>0</v>
      </c>
      <c r="F308">
        <v>1</v>
      </c>
      <c r="G308" s="2">
        <v>0.35069444444444442</v>
      </c>
      <c r="H308" t="s">
        <v>823</v>
      </c>
      <c r="I308" t="s">
        <v>823</v>
      </c>
      <c r="J308" t="s">
        <v>22</v>
      </c>
      <c r="K308" t="b">
        <v>0</v>
      </c>
      <c r="L308" t="b">
        <v>0</v>
      </c>
      <c r="M308">
        <v>5.3304333333333309</v>
      </c>
      <c r="N308">
        <v>5</v>
      </c>
      <c r="O308" t="s">
        <v>824</v>
      </c>
      <c r="P308">
        <v>0.66759999999999997</v>
      </c>
      <c r="Q308">
        <f>_xlfn.XLOOKUP(Table1[[#This Row],[session_id]],[1]chats_with_feedback!$A:$A,[1]chats_with_feedback!$F:$F)</f>
        <v>5</v>
      </c>
      <c r="R308">
        <f>_xlfn.XLOOKUP(Table1[[#This Row],[session_id]],[1]chats_with_feedback!$A:$A,[1]chats_with_feedback!$G:$G)</f>
        <v>10</v>
      </c>
      <c r="S308">
        <f>_xlfn.XLOOKUP(Table1[[#This Row],[session_id]],[1]chats_with_feedback!$A:$A,[1]chats_with_feedback!$J:$J)</f>
        <v>3</v>
      </c>
      <c r="T308" t="str">
        <f>_xlfn.XLOOKUP(Table1[[#This Row],[csat_score]],Sheet2!A:A,Sheet2!D:D)</f>
        <v>Alta</v>
      </c>
      <c r="U308" t="str">
        <f>_xlfn.XLOOKUP(Table1[[#This Row],[nps_score]],Sheet2!B:B,Sheet2!E:E)</f>
        <v>promoter</v>
      </c>
      <c r="V308" t="str">
        <f>_xlfn.XLOOKUP(Table1[[#This Row],[resolution_numeric]],Sheet2!C:C,Sheet2!F:F)</f>
        <v>yes</v>
      </c>
      <c r="W308">
        <f>1</f>
        <v>1</v>
      </c>
      <c r="X308">
        <f>IF(ISBLANK(Table1[[#This Row],[nps_category]]),0,1)</f>
        <v>1</v>
      </c>
    </row>
    <row r="309" spans="1:24" x14ac:dyDescent="0.25">
      <c r="A309" t="s">
        <v>829</v>
      </c>
      <c r="B309" t="s">
        <v>830</v>
      </c>
      <c r="C309" s="1">
        <v>46145</v>
      </c>
      <c r="D309" t="s">
        <v>22</v>
      </c>
      <c r="E309" t="b">
        <v>0</v>
      </c>
      <c r="F309">
        <v>1</v>
      </c>
      <c r="G309" s="2">
        <v>0.43472222222222223</v>
      </c>
      <c r="H309" t="s">
        <v>831</v>
      </c>
      <c r="I309" t="s">
        <v>831</v>
      </c>
      <c r="J309" t="s">
        <v>22</v>
      </c>
      <c r="K309" t="b">
        <v>0</v>
      </c>
      <c r="L309" t="b">
        <v>0</v>
      </c>
      <c r="M309">
        <v>5.2766333333333302</v>
      </c>
      <c r="N309">
        <v>5</v>
      </c>
      <c r="O309" t="s">
        <v>51</v>
      </c>
      <c r="P309">
        <v>0.47889999999999999</v>
      </c>
      <c r="Q309">
        <f>_xlfn.XLOOKUP(Table1[[#This Row],[session_id]],[1]chats_with_feedback!$A:$A,[1]chats_with_feedback!$F:$F)</f>
        <v>5</v>
      </c>
      <c r="R309">
        <f>_xlfn.XLOOKUP(Table1[[#This Row],[session_id]],[1]chats_with_feedback!$A:$A,[1]chats_with_feedback!$G:$G)</f>
        <v>10</v>
      </c>
      <c r="S309">
        <f>_xlfn.XLOOKUP(Table1[[#This Row],[session_id]],[1]chats_with_feedback!$A:$A,[1]chats_with_feedback!$J:$J)</f>
        <v>3</v>
      </c>
      <c r="T309" t="str">
        <f>_xlfn.XLOOKUP(Table1[[#This Row],[csat_score]],Sheet2!A:A,Sheet2!D:D)</f>
        <v>Alta</v>
      </c>
      <c r="U309" t="str">
        <f>_xlfn.XLOOKUP(Table1[[#This Row],[nps_score]],Sheet2!B:B,Sheet2!E:E)</f>
        <v>promoter</v>
      </c>
      <c r="V309" t="str">
        <f>_xlfn.XLOOKUP(Table1[[#This Row],[resolution_numeric]],Sheet2!C:C,Sheet2!F:F)</f>
        <v>yes</v>
      </c>
      <c r="W309">
        <f>1</f>
        <v>1</v>
      </c>
      <c r="X309">
        <f>IF(ISBLANK(Table1[[#This Row],[nps_category]]),0,1)</f>
        <v>1</v>
      </c>
    </row>
    <row r="310" spans="1:24" x14ac:dyDescent="0.25">
      <c r="A310" t="s">
        <v>839</v>
      </c>
      <c r="B310" t="s">
        <v>840</v>
      </c>
      <c r="C310" s="1">
        <v>46145</v>
      </c>
      <c r="D310" t="s">
        <v>22</v>
      </c>
      <c r="E310" t="b">
        <v>0</v>
      </c>
      <c r="F310">
        <v>1</v>
      </c>
      <c r="G310" s="2">
        <v>0.10138888888888889</v>
      </c>
      <c r="H310" t="s">
        <v>841</v>
      </c>
      <c r="I310" t="s">
        <v>841</v>
      </c>
      <c r="J310" t="s">
        <v>22</v>
      </c>
      <c r="K310" t="b">
        <v>0</v>
      </c>
      <c r="L310" t="b">
        <v>0</v>
      </c>
      <c r="M310">
        <v>4.1492666666666596</v>
      </c>
      <c r="N310">
        <v>5</v>
      </c>
      <c r="O310" t="s">
        <v>226</v>
      </c>
      <c r="P310">
        <v>0.41909999999999997</v>
      </c>
      <c r="Q310">
        <f>_xlfn.XLOOKUP(Table1[[#This Row],[session_id]],[1]chats_with_feedback!$A:$A,[1]chats_with_feedback!$F:$F)</f>
        <v>3</v>
      </c>
      <c r="R310">
        <f>_xlfn.XLOOKUP(Table1[[#This Row],[session_id]],[1]chats_with_feedback!$A:$A,[1]chats_with_feedback!$G:$G)</f>
        <v>7</v>
      </c>
      <c r="S310">
        <f>_xlfn.XLOOKUP(Table1[[#This Row],[session_id]],[1]chats_with_feedback!$A:$A,[1]chats_with_feedback!$J:$J)</f>
        <v>2</v>
      </c>
      <c r="T310" t="str">
        <f>_xlfn.XLOOKUP(Table1[[#This Row],[csat_score]],Sheet2!A:A,Sheet2!D:D)</f>
        <v>Media</v>
      </c>
      <c r="U310" t="str">
        <f>_xlfn.XLOOKUP(Table1[[#This Row],[nps_score]],Sheet2!B:B,Sheet2!E:E)</f>
        <v>passive</v>
      </c>
      <c r="V310" t="str">
        <f>_xlfn.XLOOKUP(Table1[[#This Row],[resolution_numeric]],Sheet2!C:C,Sheet2!F:F)</f>
        <v>partial</v>
      </c>
      <c r="W310">
        <f>1</f>
        <v>1</v>
      </c>
      <c r="X310">
        <f>IF(ISBLANK(Table1[[#This Row],[nps_category]]),0,1)</f>
        <v>1</v>
      </c>
    </row>
    <row r="311" spans="1:24" x14ac:dyDescent="0.25">
      <c r="A311" t="s">
        <v>842</v>
      </c>
      <c r="B311" t="s">
        <v>843</v>
      </c>
      <c r="C311" s="1">
        <v>46145</v>
      </c>
      <c r="D311" t="s">
        <v>45</v>
      </c>
      <c r="E311" t="b">
        <v>1</v>
      </c>
      <c r="F311">
        <v>1</v>
      </c>
      <c r="G311" s="2">
        <v>0.4826388888888889</v>
      </c>
      <c r="H311" t="s">
        <v>844</v>
      </c>
      <c r="I311" t="s">
        <v>844</v>
      </c>
      <c r="J311" t="s">
        <v>45</v>
      </c>
      <c r="K311" t="b">
        <v>1</v>
      </c>
      <c r="L311" t="b">
        <v>0</v>
      </c>
      <c r="M311">
        <v>3.8917166666666603</v>
      </c>
      <c r="N311">
        <v>5</v>
      </c>
      <c r="O311" t="s">
        <v>51</v>
      </c>
      <c r="P311">
        <v>0.4763</v>
      </c>
      <c r="Q311">
        <f>_xlfn.XLOOKUP(Table1[[#This Row],[session_id]],[1]chats_with_feedback!$A:$A,[1]chats_with_feedback!$F:$F)</f>
        <v>5</v>
      </c>
      <c r="R311">
        <f>_xlfn.XLOOKUP(Table1[[#This Row],[session_id]],[1]chats_with_feedback!$A:$A,[1]chats_with_feedback!$G:$G)</f>
        <v>10</v>
      </c>
      <c r="S311">
        <f>_xlfn.XLOOKUP(Table1[[#This Row],[session_id]],[1]chats_with_feedback!$A:$A,[1]chats_with_feedback!$J:$J)</f>
        <v>3</v>
      </c>
      <c r="T311" t="str">
        <f>_xlfn.XLOOKUP(Table1[[#This Row],[csat_score]],Sheet2!A:A,Sheet2!D:D)</f>
        <v>Alta</v>
      </c>
      <c r="U311" t="str">
        <f>_xlfn.XLOOKUP(Table1[[#This Row],[nps_score]],Sheet2!B:B,Sheet2!E:E)</f>
        <v>promoter</v>
      </c>
      <c r="V311" t="str">
        <f>_xlfn.XLOOKUP(Table1[[#This Row],[resolution_numeric]],Sheet2!C:C,Sheet2!F:F)</f>
        <v>yes</v>
      </c>
      <c r="W311">
        <f>1</f>
        <v>1</v>
      </c>
      <c r="X311">
        <f>IF(ISBLANK(Table1[[#This Row],[nps_category]]),0,1)</f>
        <v>1</v>
      </c>
    </row>
    <row r="312" spans="1:24" x14ac:dyDescent="0.25">
      <c r="A312" t="s">
        <v>849</v>
      </c>
      <c r="B312" t="s">
        <v>850</v>
      </c>
      <c r="C312" s="1">
        <v>46145</v>
      </c>
      <c r="D312" t="s">
        <v>45</v>
      </c>
      <c r="E312" t="b">
        <v>1</v>
      </c>
      <c r="F312">
        <v>1</v>
      </c>
      <c r="G312" s="2">
        <v>5.2777777777777778E-2</v>
      </c>
      <c r="H312" t="s">
        <v>851</v>
      </c>
      <c r="I312" t="s">
        <v>851</v>
      </c>
      <c r="J312" t="s">
        <v>45</v>
      </c>
      <c r="K312" t="b">
        <v>1</v>
      </c>
      <c r="L312" t="b">
        <v>0</v>
      </c>
      <c r="M312">
        <v>6.4792000000000005</v>
      </c>
      <c r="N312">
        <v>5</v>
      </c>
      <c r="O312" t="s">
        <v>852</v>
      </c>
      <c r="P312">
        <v>0.3977</v>
      </c>
      <c r="Q312">
        <f>_xlfn.XLOOKUP(Table1[[#This Row],[session_id]],[1]chats_with_feedback!$A:$A,[1]chats_with_feedback!$F:$F)</f>
        <v>3</v>
      </c>
      <c r="R312">
        <f>_xlfn.XLOOKUP(Table1[[#This Row],[session_id]],[1]chats_with_feedback!$A:$A,[1]chats_with_feedback!$G:$G)</f>
        <v>7</v>
      </c>
      <c r="S312">
        <f>_xlfn.XLOOKUP(Table1[[#This Row],[session_id]],[1]chats_with_feedback!$A:$A,[1]chats_with_feedback!$J:$J)</f>
        <v>2</v>
      </c>
      <c r="T312" t="str">
        <f>_xlfn.XLOOKUP(Table1[[#This Row],[csat_score]],Sheet2!A:A,Sheet2!D:D)</f>
        <v>Media</v>
      </c>
      <c r="U312" t="str">
        <f>_xlfn.XLOOKUP(Table1[[#This Row],[nps_score]],Sheet2!B:B,Sheet2!E:E)</f>
        <v>passive</v>
      </c>
      <c r="V312" t="str">
        <f>_xlfn.XLOOKUP(Table1[[#This Row],[resolution_numeric]],Sheet2!C:C,Sheet2!F:F)</f>
        <v>partial</v>
      </c>
      <c r="W312">
        <f>1</f>
        <v>1</v>
      </c>
      <c r="X312">
        <f>IF(ISBLANK(Table1[[#This Row],[nps_category]]),0,1)</f>
        <v>1</v>
      </c>
    </row>
    <row r="313" spans="1:24" x14ac:dyDescent="0.25">
      <c r="A313" t="s">
        <v>853</v>
      </c>
      <c r="B313" t="s">
        <v>854</v>
      </c>
      <c r="C313" s="1">
        <v>46145</v>
      </c>
      <c r="D313" t="s">
        <v>22</v>
      </c>
      <c r="E313" t="b">
        <v>0</v>
      </c>
      <c r="F313">
        <v>1</v>
      </c>
      <c r="G313" s="2">
        <v>3.4027777777777775E-2</v>
      </c>
      <c r="H313" t="s">
        <v>855</v>
      </c>
      <c r="I313" t="s">
        <v>855</v>
      </c>
      <c r="J313" t="s">
        <v>22</v>
      </c>
      <c r="K313" t="b">
        <v>0</v>
      </c>
      <c r="L313" t="b">
        <v>0</v>
      </c>
      <c r="M313">
        <v>6.1165500000000002</v>
      </c>
      <c r="N313">
        <v>5</v>
      </c>
      <c r="O313" t="s">
        <v>856</v>
      </c>
      <c r="P313">
        <v>0.38279999999999997</v>
      </c>
      <c r="Q313">
        <f>_xlfn.XLOOKUP(Table1[[#This Row],[session_id]],[1]chats_with_feedback!$A:$A,[1]chats_with_feedback!$F:$F)</f>
        <v>3</v>
      </c>
      <c r="R313">
        <f>_xlfn.XLOOKUP(Table1[[#This Row],[session_id]],[1]chats_with_feedback!$A:$A,[1]chats_with_feedback!$G:$G)</f>
        <v>7</v>
      </c>
      <c r="S313">
        <f>_xlfn.XLOOKUP(Table1[[#This Row],[session_id]],[1]chats_with_feedback!$A:$A,[1]chats_with_feedback!$J:$J)</f>
        <v>2</v>
      </c>
      <c r="T313" t="str">
        <f>_xlfn.XLOOKUP(Table1[[#This Row],[csat_score]],Sheet2!A:A,Sheet2!D:D)</f>
        <v>Media</v>
      </c>
      <c r="U313" t="str">
        <f>_xlfn.XLOOKUP(Table1[[#This Row],[nps_score]],Sheet2!B:B,Sheet2!E:E)</f>
        <v>passive</v>
      </c>
      <c r="V313" t="str">
        <f>_xlfn.XLOOKUP(Table1[[#This Row],[resolution_numeric]],Sheet2!C:C,Sheet2!F:F)</f>
        <v>partial</v>
      </c>
      <c r="W313">
        <f>1</f>
        <v>1</v>
      </c>
      <c r="X313">
        <f>IF(ISBLANK(Table1[[#This Row],[nps_category]]),0,1)</f>
        <v>1</v>
      </c>
    </row>
    <row r="314" spans="1:24" x14ac:dyDescent="0.25">
      <c r="A314" t="s">
        <v>859</v>
      </c>
      <c r="B314" t="s">
        <v>860</v>
      </c>
      <c r="C314" s="1">
        <v>46145</v>
      </c>
      <c r="D314" t="s">
        <v>22</v>
      </c>
      <c r="E314" t="b">
        <v>0</v>
      </c>
      <c r="F314">
        <v>1</v>
      </c>
      <c r="G314" s="2">
        <v>9.3055555555555558E-2</v>
      </c>
      <c r="H314" t="s">
        <v>861</v>
      </c>
      <c r="I314" t="s">
        <v>861</v>
      </c>
      <c r="J314" t="s">
        <v>22</v>
      </c>
      <c r="K314" t="b">
        <v>0</v>
      </c>
      <c r="L314" t="b">
        <v>0</v>
      </c>
      <c r="M314">
        <v>4.6504166666666604</v>
      </c>
      <c r="N314">
        <v>5</v>
      </c>
      <c r="O314" t="s">
        <v>229</v>
      </c>
      <c r="P314">
        <v>0.24990000000000001</v>
      </c>
      <c r="Q314">
        <f>_xlfn.XLOOKUP(Table1[[#This Row],[session_id]],[1]chats_with_feedback!$A:$A,[1]chats_with_feedback!$F:$F)</f>
        <v>2</v>
      </c>
      <c r="R314">
        <f>_xlfn.XLOOKUP(Table1[[#This Row],[session_id]],[1]chats_with_feedback!$A:$A,[1]chats_with_feedback!$G:$G)</f>
        <v>3</v>
      </c>
      <c r="S314">
        <f>_xlfn.XLOOKUP(Table1[[#This Row],[session_id]],[1]chats_with_feedback!$A:$A,[1]chats_with_feedback!$J:$J)</f>
        <v>1</v>
      </c>
      <c r="T314" t="str">
        <f>_xlfn.XLOOKUP(Table1[[#This Row],[csat_score]],Sheet2!A:A,Sheet2!D:D)</f>
        <v>Baja</v>
      </c>
      <c r="U314" t="str">
        <f>_xlfn.XLOOKUP(Table1[[#This Row],[nps_score]],Sheet2!B:B,Sheet2!E:E)</f>
        <v>detractor</v>
      </c>
      <c r="V314" t="str">
        <f>_xlfn.XLOOKUP(Table1[[#This Row],[resolution_numeric]],Sheet2!C:C,Sheet2!F:F)</f>
        <v>no</v>
      </c>
      <c r="W314">
        <f>1</f>
        <v>1</v>
      </c>
      <c r="X314">
        <f>IF(ISBLANK(Table1[[#This Row],[nps_category]]),0,1)</f>
        <v>1</v>
      </c>
    </row>
    <row r="315" spans="1:24" x14ac:dyDescent="0.25">
      <c r="A315" t="s">
        <v>862</v>
      </c>
      <c r="B315" t="s">
        <v>863</v>
      </c>
      <c r="C315" s="1">
        <v>46145</v>
      </c>
      <c r="D315" t="s">
        <v>22</v>
      </c>
      <c r="E315" t="b">
        <v>0</v>
      </c>
      <c r="F315">
        <v>1</v>
      </c>
      <c r="G315" s="2">
        <v>8.3333333333333332E-3</v>
      </c>
      <c r="H315" t="s">
        <v>864</v>
      </c>
      <c r="I315" t="s">
        <v>864</v>
      </c>
      <c r="J315" t="s">
        <v>22</v>
      </c>
      <c r="K315" t="b">
        <v>0</v>
      </c>
      <c r="L315" t="b">
        <v>0</v>
      </c>
      <c r="M315">
        <v>9.2050666666666601</v>
      </c>
      <c r="N315">
        <v>5</v>
      </c>
      <c r="O315" t="s">
        <v>401</v>
      </c>
      <c r="P315">
        <v>0.34639999999999999</v>
      </c>
      <c r="Q315">
        <f>_xlfn.XLOOKUP(Table1[[#This Row],[session_id]],[1]chats_with_feedback!$A:$A,[1]chats_with_feedback!$F:$F)</f>
        <v>3</v>
      </c>
      <c r="R315">
        <f>_xlfn.XLOOKUP(Table1[[#This Row],[session_id]],[1]chats_with_feedback!$A:$A,[1]chats_with_feedback!$G:$G)</f>
        <v>7</v>
      </c>
      <c r="S315">
        <f>_xlfn.XLOOKUP(Table1[[#This Row],[session_id]],[1]chats_with_feedback!$A:$A,[1]chats_with_feedback!$J:$J)</f>
        <v>2</v>
      </c>
      <c r="T315" t="str">
        <f>_xlfn.XLOOKUP(Table1[[#This Row],[csat_score]],Sheet2!A:A,Sheet2!D:D)</f>
        <v>Media</v>
      </c>
      <c r="U315" t="str">
        <f>_xlfn.XLOOKUP(Table1[[#This Row],[nps_score]],Sheet2!B:B,Sheet2!E:E)</f>
        <v>passive</v>
      </c>
      <c r="V315" t="str">
        <f>_xlfn.XLOOKUP(Table1[[#This Row],[resolution_numeric]],Sheet2!C:C,Sheet2!F:F)</f>
        <v>partial</v>
      </c>
      <c r="W315">
        <f>1</f>
        <v>1</v>
      </c>
      <c r="X315">
        <f>IF(ISBLANK(Table1[[#This Row],[nps_category]]),0,1)</f>
        <v>1</v>
      </c>
    </row>
    <row r="316" spans="1:24" x14ac:dyDescent="0.25">
      <c r="A316" t="s">
        <v>871</v>
      </c>
      <c r="B316" t="s">
        <v>872</v>
      </c>
      <c r="C316" s="1">
        <v>46145</v>
      </c>
      <c r="D316" t="s">
        <v>22</v>
      </c>
      <c r="E316" t="b">
        <v>0</v>
      </c>
      <c r="F316">
        <v>1</v>
      </c>
      <c r="G316" s="2">
        <v>0.31458333333333333</v>
      </c>
      <c r="H316" t="s">
        <v>873</v>
      </c>
      <c r="I316" t="s">
        <v>873</v>
      </c>
      <c r="J316" t="s">
        <v>22</v>
      </c>
      <c r="K316" t="b">
        <v>0</v>
      </c>
      <c r="L316" t="b">
        <v>0</v>
      </c>
      <c r="M316">
        <v>3.6918166666666599</v>
      </c>
      <c r="N316">
        <v>5</v>
      </c>
      <c r="O316" t="s">
        <v>63</v>
      </c>
      <c r="P316">
        <v>0.31680000000000003</v>
      </c>
      <c r="Q316">
        <f>_xlfn.XLOOKUP(Table1[[#This Row],[session_id]],[1]chats_with_feedback!$A:$A,[1]chats_with_feedback!$F:$F)</f>
        <v>3</v>
      </c>
      <c r="R316">
        <f>_xlfn.XLOOKUP(Table1[[#This Row],[session_id]],[1]chats_with_feedback!$A:$A,[1]chats_with_feedback!$G:$G)</f>
        <v>7</v>
      </c>
      <c r="S316">
        <f>_xlfn.XLOOKUP(Table1[[#This Row],[session_id]],[1]chats_with_feedback!$A:$A,[1]chats_with_feedback!$J:$J)</f>
        <v>2</v>
      </c>
      <c r="T316" t="str">
        <f>_xlfn.XLOOKUP(Table1[[#This Row],[csat_score]],Sheet2!A:A,Sheet2!D:D)</f>
        <v>Media</v>
      </c>
      <c r="U316" t="str">
        <f>_xlfn.XLOOKUP(Table1[[#This Row],[nps_score]],Sheet2!B:B,Sheet2!E:E)</f>
        <v>passive</v>
      </c>
      <c r="V316" t="str">
        <f>_xlfn.XLOOKUP(Table1[[#This Row],[resolution_numeric]],Sheet2!C:C,Sheet2!F:F)</f>
        <v>partial</v>
      </c>
      <c r="W316">
        <f>1</f>
        <v>1</v>
      </c>
      <c r="X316">
        <f>IF(ISBLANK(Table1[[#This Row],[nps_category]]),0,1)</f>
        <v>1</v>
      </c>
    </row>
    <row r="317" spans="1:24" x14ac:dyDescent="0.25">
      <c r="A317" t="s">
        <v>874</v>
      </c>
      <c r="B317" t="s">
        <v>875</v>
      </c>
      <c r="C317" s="1">
        <v>46145</v>
      </c>
      <c r="D317" t="s">
        <v>45</v>
      </c>
      <c r="E317" t="b">
        <v>1</v>
      </c>
      <c r="F317">
        <v>1</v>
      </c>
      <c r="G317" s="2">
        <v>0.17222222222222222</v>
      </c>
      <c r="H317" t="s">
        <v>876</v>
      </c>
      <c r="I317" t="s">
        <v>876</v>
      </c>
      <c r="J317" t="s">
        <v>45</v>
      </c>
      <c r="K317" t="b">
        <v>1</v>
      </c>
      <c r="L317" t="b">
        <v>0</v>
      </c>
      <c r="M317">
        <v>5.1064166666666599</v>
      </c>
      <c r="N317">
        <v>5</v>
      </c>
      <c r="O317" t="s">
        <v>51</v>
      </c>
      <c r="P317">
        <v>0.47939999999999999</v>
      </c>
      <c r="Q317">
        <f>_xlfn.XLOOKUP(Table1[[#This Row],[session_id]],[1]chats_with_feedback!$A:$A,[1]chats_with_feedback!$F:$F)</f>
        <v>5</v>
      </c>
      <c r="R317">
        <f>_xlfn.XLOOKUP(Table1[[#This Row],[session_id]],[1]chats_with_feedback!$A:$A,[1]chats_with_feedback!$G:$G)</f>
        <v>10</v>
      </c>
      <c r="S317">
        <f>_xlfn.XLOOKUP(Table1[[#This Row],[session_id]],[1]chats_with_feedback!$A:$A,[1]chats_with_feedback!$J:$J)</f>
        <v>3</v>
      </c>
      <c r="T317" t="str">
        <f>_xlfn.XLOOKUP(Table1[[#This Row],[csat_score]],Sheet2!A:A,Sheet2!D:D)</f>
        <v>Alta</v>
      </c>
      <c r="U317" t="str">
        <f>_xlfn.XLOOKUP(Table1[[#This Row],[nps_score]],Sheet2!B:B,Sheet2!E:E)</f>
        <v>promoter</v>
      </c>
      <c r="V317" t="str">
        <f>_xlfn.XLOOKUP(Table1[[#This Row],[resolution_numeric]],Sheet2!C:C,Sheet2!F:F)</f>
        <v>yes</v>
      </c>
      <c r="W317">
        <f>1</f>
        <v>1</v>
      </c>
      <c r="X317">
        <f>IF(ISBLANK(Table1[[#This Row],[nps_category]]),0,1)</f>
        <v>1</v>
      </c>
    </row>
    <row r="318" spans="1:24" x14ac:dyDescent="0.25">
      <c r="A318" t="s">
        <v>892</v>
      </c>
      <c r="B318" t="s">
        <v>893</v>
      </c>
      <c r="C318" s="1">
        <v>46145</v>
      </c>
      <c r="D318" t="s">
        <v>22</v>
      </c>
      <c r="E318" t="b">
        <v>0</v>
      </c>
      <c r="F318">
        <v>1</v>
      </c>
      <c r="G318" s="2">
        <v>0.44444444444444442</v>
      </c>
      <c r="H318" t="s">
        <v>894</v>
      </c>
      <c r="I318" t="s">
        <v>894</v>
      </c>
      <c r="J318" t="s">
        <v>22</v>
      </c>
      <c r="K318" t="b">
        <v>0</v>
      </c>
      <c r="L318" t="b">
        <v>0</v>
      </c>
      <c r="M318">
        <v>3.6580333333333299</v>
      </c>
      <c r="N318">
        <v>5</v>
      </c>
      <c r="O318" t="s">
        <v>51</v>
      </c>
      <c r="P318">
        <v>0.66259999999999997</v>
      </c>
      <c r="Q318">
        <f>_xlfn.XLOOKUP(Table1[[#This Row],[session_id]],[1]chats_with_feedback!$A:$A,[1]chats_with_feedback!$F:$F)</f>
        <v>5</v>
      </c>
      <c r="R318">
        <f>_xlfn.XLOOKUP(Table1[[#This Row],[session_id]],[1]chats_with_feedback!$A:$A,[1]chats_with_feedback!$G:$G)</f>
        <v>10</v>
      </c>
      <c r="S318">
        <f>_xlfn.XLOOKUP(Table1[[#This Row],[session_id]],[1]chats_with_feedback!$A:$A,[1]chats_with_feedback!$J:$J)</f>
        <v>3</v>
      </c>
      <c r="T318" t="str">
        <f>_xlfn.XLOOKUP(Table1[[#This Row],[csat_score]],Sheet2!A:A,Sheet2!D:D)</f>
        <v>Alta</v>
      </c>
      <c r="U318" t="str">
        <f>_xlfn.XLOOKUP(Table1[[#This Row],[nps_score]],Sheet2!B:B,Sheet2!E:E)</f>
        <v>promoter</v>
      </c>
      <c r="V318" t="str">
        <f>_xlfn.XLOOKUP(Table1[[#This Row],[resolution_numeric]],Sheet2!C:C,Sheet2!F:F)</f>
        <v>yes</v>
      </c>
      <c r="W318">
        <f>1</f>
        <v>1</v>
      </c>
      <c r="X318">
        <f>IF(ISBLANK(Table1[[#This Row],[nps_category]]),0,1)</f>
        <v>1</v>
      </c>
    </row>
    <row r="319" spans="1:24" x14ac:dyDescent="0.25">
      <c r="A319" t="s">
        <v>208</v>
      </c>
      <c r="B319" t="s">
        <v>209</v>
      </c>
      <c r="C319" s="1">
        <v>46144</v>
      </c>
      <c r="D319" t="s">
        <v>45</v>
      </c>
      <c r="E319" t="b">
        <v>1</v>
      </c>
      <c r="F319">
        <v>1</v>
      </c>
      <c r="G319" s="2">
        <v>0.16250000000000001</v>
      </c>
      <c r="H319" t="s">
        <v>134</v>
      </c>
      <c r="I319" t="s">
        <v>134</v>
      </c>
      <c r="J319" t="s">
        <v>45</v>
      </c>
      <c r="K319" t="b">
        <v>1</v>
      </c>
      <c r="L319" t="b">
        <v>0</v>
      </c>
      <c r="M319">
        <v>6.1865333333333297</v>
      </c>
      <c r="N319">
        <v>5</v>
      </c>
      <c r="O319" t="s">
        <v>36</v>
      </c>
      <c r="P319">
        <v>0.35780000000000001</v>
      </c>
      <c r="Q319">
        <f>_xlfn.XLOOKUP(Table1[[#This Row],[session_id]],[1]chats_with_feedback!$A:$A,[1]chats_with_feedback!$F:$F)</f>
        <v>3</v>
      </c>
      <c r="R319">
        <f>_xlfn.XLOOKUP(Table1[[#This Row],[session_id]],[1]chats_with_feedback!$A:$A,[1]chats_with_feedback!$G:$G)</f>
        <v>7</v>
      </c>
      <c r="S319">
        <f>_xlfn.XLOOKUP(Table1[[#This Row],[session_id]],[1]chats_with_feedback!$A:$A,[1]chats_with_feedback!$J:$J)</f>
        <v>2</v>
      </c>
      <c r="T319" t="str">
        <f>_xlfn.XLOOKUP(Table1[[#This Row],[csat_score]],Sheet2!A:A,Sheet2!D:D)</f>
        <v>Media</v>
      </c>
      <c r="U319" t="str">
        <f>_xlfn.XLOOKUP(Table1[[#This Row],[nps_score]],Sheet2!B:B,Sheet2!E:E)</f>
        <v>passive</v>
      </c>
      <c r="V319" t="str">
        <f>_xlfn.XLOOKUP(Table1[[#This Row],[resolution_numeric]],Sheet2!C:C,Sheet2!F:F)</f>
        <v>partial</v>
      </c>
      <c r="W319">
        <f>1</f>
        <v>1</v>
      </c>
      <c r="X319">
        <f>IF(ISBLANK(Table1[[#This Row],[nps_category]]),0,1)</f>
        <v>1</v>
      </c>
    </row>
    <row r="320" spans="1:24" x14ac:dyDescent="0.25">
      <c r="A320" t="s">
        <v>934</v>
      </c>
      <c r="B320" t="s">
        <v>935</v>
      </c>
      <c r="C320" s="1">
        <v>46145</v>
      </c>
      <c r="D320" t="s">
        <v>22</v>
      </c>
      <c r="E320" t="b">
        <v>0</v>
      </c>
      <c r="F320">
        <v>1</v>
      </c>
      <c r="G320" s="2">
        <v>0.18888888888888888</v>
      </c>
      <c r="H320" t="s">
        <v>936</v>
      </c>
      <c r="I320" t="s">
        <v>936</v>
      </c>
      <c r="J320" t="s">
        <v>22</v>
      </c>
      <c r="K320" t="b">
        <v>0</v>
      </c>
      <c r="L320" t="b">
        <v>0</v>
      </c>
      <c r="M320">
        <v>6.2233666666666609</v>
      </c>
      <c r="N320">
        <v>5</v>
      </c>
      <c r="O320" t="s">
        <v>824</v>
      </c>
      <c r="P320">
        <v>0.28299999999999997</v>
      </c>
      <c r="Q320">
        <f>_xlfn.XLOOKUP(Table1[[#This Row],[session_id]],[1]chats_with_feedback!$A:$A,[1]chats_with_feedback!$F:$F)</f>
        <v>3</v>
      </c>
      <c r="R320">
        <f>_xlfn.XLOOKUP(Table1[[#This Row],[session_id]],[1]chats_with_feedback!$A:$A,[1]chats_with_feedback!$G:$G)</f>
        <v>7</v>
      </c>
      <c r="S320">
        <f>_xlfn.XLOOKUP(Table1[[#This Row],[session_id]],[1]chats_with_feedback!$A:$A,[1]chats_with_feedback!$J:$J)</f>
        <v>2</v>
      </c>
      <c r="T320" t="str">
        <f>_xlfn.XLOOKUP(Table1[[#This Row],[csat_score]],Sheet2!A:A,Sheet2!D:D)</f>
        <v>Media</v>
      </c>
      <c r="U320" t="str">
        <f>_xlfn.XLOOKUP(Table1[[#This Row],[nps_score]],Sheet2!B:B,Sheet2!E:E)</f>
        <v>passive</v>
      </c>
      <c r="V320" t="str">
        <f>_xlfn.XLOOKUP(Table1[[#This Row],[resolution_numeric]],Sheet2!C:C,Sheet2!F:F)</f>
        <v>partial</v>
      </c>
      <c r="W320">
        <f>1</f>
        <v>1</v>
      </c>
      <c r="X320">
        <f>IF(ISBLANK(Table1[[#This Row],[nps_category]]),0,1)</f>
        <v>1</v>
      </c>
    </row>
    <row r="321" spans="1:24" x14ac:dyDescent="0.25">
      <c r="A321" t="s">
        <v>937</v>
      </c>
      <c r="B321" t="s">
        <v>938</v>
      </c>
      <c r="C321" s="1">
        <v>46145</v>
      </c>
      <c r="D321" t="s">
        <v>45</v>
      </c>
      <c r="E321" t="b">
        <v>1</v>
      </c>
      <c r="F321">
        <v>1</v>
      </c>
      <c r="G321" s="2">
        <v>8.0555555555555561E-2</v>
      </c>
      <c r="H321" t="s">
        <v>939</v>
      </c>
      <c r="I321" t="s">
        <v>939</v>
      </c>
      <c r="J321" t="s">
        <v>45</v>
      </c>
      <c r="K321" t="b">
        <v>1</v>
      </c>
      <c r="L321" t="b">
        <v>0</v>
      </c>
      <c r="M321">
        <v>5.1116499999999991</v>
      </c>
      <c r="N321">
        <v>5</v>
      </c>
      <c r="O321" t="s">
        <v>226</v>
      </c>
      <c r="P321">
        <v>0.441</v>
      </c>
      <c r="Q321">
        <f>_xlfn.XLOOKUP(Table1[[#This Row],[session_id]],[1]chats_with_feedback!$A:$A,[1]chats_with_feedback!$F:$F)</f>
        <v>5</v>
      </c>
      <c r="R321">
        <f>_xlfn.XLOOKUP(Table1[[#This Row],[session_id]],[1]chats_with_feedback!$A:$A,[1]chats_with_feedback!$G:$G)</f>
        <v>10</v>
      </c>
      <c r="S321">
        <f>_xlfn.XLOOKUP(Table1[[#This Row],[session_id]],[1]chats_with_feedback!$A:$A,[1]chats_with_feedback!$J:$J)</f>
        <v>3</v>
      </c>
      <c r="T321" t="str">
        <f>_xlfn.XLOOKUP(Table1[[#This Row],[csat_score]],Sheet2!A:A,Sheet2!D:D)</f>
        <v>Alta</v>
      </c>
      <c r="U321" t="str">
        <f>_xlfn.XLOOKUP(Table1[[#This Row],[nps_score]],Sheet2!B:B,Sheet2!E:E)</f>
        <v>promoter</v>
      </c>
      <c r="V321" t="str">
        <f>_xlfn.XLOOKUP(Table1[[#This Row],[resolution_numeric]],Sheet2!C:C,Sheet2!F:F)</f>
        <v>yes</v>
      </c>
      <c r="W321">
        <f>1</f>
        <v>1</v>
      </c>
      <c r="X321">
        <f>IF(ISBLANK(Table1[[#This Row],[nps_category]]),0,1)</f>
        <v>1</v>
      </c>
    </row>
    <row r="322" spans="1:24" x14ac:dyDescent="0.25">
      <c r="A322" t="s">
        <v>943</v>
      </c>
      <c r="B322" t="s">
        <v>944</v>
      </c>
      <c r="C322" s="1">
        <v>46145</v>
      </c>
      <c r="D322" t="s">
        <v>22</v>
      </c>
      <c r="E322" t="b">
        <v>0</v>
      </c>
      <c r="F322">
        <v>1</v>
      </c>
      <c r="G322" s="2">
        <v>0.30625000000000002</v>
      </c>
      <c r="H322" t="s">
        <v>945</v>
      </c>
      <c r="I322" t="s">
        <v>945</v>
      </c>
      <c r="J322" t="s">
        <v>22</v>
      </c>
      <c r="K322" t="b">
        <v>0</v>
      </c>
      <c r="L322" t="b">
        <v>0</v>
      </c>
      <c r="M322">
        <v>5.2665333333333297</v>
      </c>
      <c r="N322">
        <v>5</v>
      </c>
      <c r="O322" t="s">
        <v>51</v>
      </c>
      <c r="P322">
        <v>0.50290000000000001</v>
      </c>
      <c r="Q322">
        <f>_xlfn.XLOOKUP(Table1[[#This Row],[session_id]],[1]chats_with_feedback!$A:$A,[1]chats_with_feedback!$F:$F)</f>
        <v>5</v>
      </c>
      <c r="R322">
        <f>_xlfn.XLOOKUP(Table1[[#This Row],[session_id]],[1]chats_with_feedback!$A:$A,[1]chats_with_feedback!$G:$G)</f>
        <v>10</v>
      </c>
      <c r="S322">
        <f>_xlfn.XLOOKUP(Table1[[#This Row],[session_id]],[1]chats_with_feedback!$A:$A,[1]chats_with_feedback!$J:$J)</f>
        <v>3</v>
      </c>
      <c r="T322" t="str">
        <f>_xlfn.XLOOKUP(Table1[[#This Row],[csat_score]],Sheet2!A:A,Sheet2!D:D)</f>
        <v>Alta</v>
      </c>
      <c r="U322" t="str">
        <f>_xlfn.XLOOKUP(Table1[[#This Row],[nps_score]],Sheet2!B:B,Sheet2!E:E)</f>
        <v>promoter</v>
      </c>
      <c r="V322" t="str">
        <f>_xlfn.XLOOKUP(Table1[[#This Row],[resolution_numeric]],Sheet2!C:C,Sheet2!F:F)</f>
        <v>yes</v>
      </c>
      <c r="W322">
        <f>1</f>
        <v>1</v>
      </c>
      <c r="X322">
        <f>IF(ISBLANK(Table1[[#This Row],[nps_category]]),0,1)</f>
        <v>1</v>
      </c>
    </row>
    <row r="323" spans="1:24" x14ac:dyDescent="0.25">
      <c r="A323" t="s">
        <v>963</v>
      </c>
      <c r="B323" t="s">
        <v>964</v>
      </c>
      <c r="C323" s="1">
        <v>46145</v>
      </c>
      <c r="D323" t="s">
        <v>22</v>
      </c>
      <c r="E323" t="b">
        <v>0</v>
      </c>
      <c r="F323">
        <v>1</v>
      </c>
      <c r="G323" s="2">
        <v>0.47708333333333336</v>
      </c>
      <c r="H323" t="s">
        <v>965</v>
      </c>
      <c r="I323" t="s">
        <v>965</v>
      </c>
      <c r="J323" t="s">
        <v>22</v>
      </c>
      <c r="K323" t="b">
        <v>0</v>
      </c>
      <c r="L323" t="b">
        <v>0</v>
      </c>
      <c r="M323">
        <v>4.7392333333333303</v>
      </c>
      <c r="N323">
        <v>5</v>
      </c>
      <c r="O323" t="s">
        <v>51</v>
      </c>
      <c r="P323">
        <v>0.43740000000000001</v>
      </c>
      <c r="Q323">
        <f>_xlfn.XLOOKUP(Table1[[#This Row],[session_id]],[1]chats_with_feedback!$A:$A,[1]chats_with_feedback!$F:$F)</f>
        <v>5</v>
      </c>
      <c r="R323">
        <f>_xlfn.XLOOKUP(Table1[[#This Row],[session_id]],[1]chats_with_feedback!$A:$A,[1]chats_with_feedback!$G:$G)</f>
        <v>10</v>
      </c>
      <c r="S323">
        <f>_xlfn.XLOOKUP(Table1[[#This Row],[session_id]],[1]chats_with_feedback!$A:$A,[1]chats_with_feedback!$J:$J)</f>
        <v>3</v>
      </c>
      <c r="T323" t="str">
        <f>_xlfn.XLOOKUP(Table1[[#This Row],[csat_score]],Sheet2!A:A,Sheet2!D:D)</f>
        <v>Alta</v>
      </c>
      <c r="U323" t="str">
        <f>_xlfn.XLOOKUP(Table1[[#This Row],[nps_score]],Sheet2!B:B,Sheet2!E:E)</f>
        <v>promoter</v>
      </c>
      <c r="V323" t="str">
        <f>_xlfn.XLOOKUP(Table1[[#This Row],[resolution_numeric]],Sheet2!C:C,Sheet2!F:F)</f>
        <v>yes</v>
      </c>
      <c r="W323">
        <f>1</f>
        <v>1</v>
      </c>
      <c r="X323">
        <f>IF(ISBLANK(Table1[[#This Row],[nps_category]]),0,1)</f>
        <v>1</v>
      </c>
    </row>
    <row r="324" spans="1:24" x14ac:dyDescent="0.25">
      <c r="A324" t="s">
        <v>969</v>
      </c>
      <c r="B324" t="s">
        <v>970</v>
      </c>
      <c r="C324" s="1">
        <v>46145</v>
      </c>
      <c r="D324" t="s">
        <v>22</v>
      </c>
      <c r="E324" t="b">
        <v>0</v>
      </c>
      <c r="F324">
        <v>1</v>
      </c>
      <c r="G324" s="2">
        <v>0.54305555555555551</v>
      </c>
      <c r="H324" t="s">
        <v>971</v>
      </c>
      <c r="I324" t="s">
        <v>971</v>
      </c>
      <c r="J324" t="s">
        <v>22</v>
      </c>
      <c r="K324" t="b">
        <v>0</v>
      </c>
      <c r="L324" t="b">
        <v>0</v>
      </c>
      <c r="M324">
        <v>5.0883166666666595</v>
      </c>
      <c r="N324">
        <v>5</v>
      </c>
      <c r="O324" t="s">
        <v>51</v>
      </c>
      <c r="P324">
        <v>0.67579999999999996</v>
      </c>
      <c r="Q324">
        <f>_xlfn.XLOOKUP(Table1[[#This Row],[session_id]],[1]chats_with_feedback!$A:$A,[1]chats_with_feedback!$F:$F)</f>
        <v>5</v>
      </c>
      <c r="R324">
        <f>_xlfn.XLOOKUP(Table1[[#This Row],[session_id]],[1]chats_with_feedback!$A:$A,[1]chats_with_feedback!$G:$G)</f>
        <v>10</v>
      </c>
      <c r="S324">
        <f>_xlfn.XLOOKUP(Table1[[#This Row],[session_id]],[1]chats_with_feedback!$A:$A,[1]chats_with_feedback!$J:$J)</f>
        <v>3</v>
      </c>
      <c r="T324" t="str">
        <f>_xlfn.XLOOKUP(Table1[[#This Row],[csat_score]],Sheet2!A:A,Sheet2!D:D)</f>
        <v>Alta</v>
      </c>
      <c r="U324" t="str">
        <f>_xlfn.XLOOKUP(Table1[[#This Row],[nps_score]],Sheet2!B:B,Sheet2!E:E)</f>
        <v>promoter</v>
      </c>
      <c r="V324" t="str">
        <f>_xlfn.XLOOKUP(Table1[[#This Row],[resolution_numeric]],Sheet2!C:C,Sheet2!F:F)</f>
        <v>yes</v>
      </c>
      <c r="W324">
        <f>1</f>
        <v>1</v>
      </c>
      <c r="X324">
        <f>IF(ISBLANK(Table1[[#This Row],[nps_category]]),0,1)</f>
        <v>1</v>
      </c>
    </row>
    <row r="325" spans="1:24" x14ac:dyDescent="0.25">
      <c r="A325" t="s">
        <v>972</v>
      </c>
      <c r="B325" t="s">
        <v>973</v>
      </c>
      <c r="C325" s="1">
        <v>46145</v>
      </c>
      <c r="D325" t="s">
        <v>22</v>
      </c>
      <c r="E325" t="b">
        <v>0</v>
      </c>
      <c r="F325">
        <v>1</v>
      </c>
      <c r="G325" s="2">
        <v>0.14027777777777778</v>
      </c>
      <c r="H325" t="s">
        <v>974</v>
      </c>
      <c r="I325" t="s">
        <v>974</v>
      </c>
      <c r="J325" t="s">
        <v>22</v>
      </c>
      <c r="K325" t="b">
        <v>0</v>
      </c>
      <c r="L325" t="b">
        <v>0</v>
      </c>
      <c r="M325">
        <v>6.4222166666666594</v>
      </c>
      <c r="N325">
        <v>5</v>
      </c>
      <c r="O325" t="s">
        <v>55</v>
      </c>
      <c r="P325">
        <v>0.27560000000000001</v>
      </c>
      <c r="Q325">
        <f>_xlfn.XLOOKUP(Table1[[#This Row],[session_id]],[1]chats_with_feedback!$A:$A,[1]chats_with_feedback!$F:$F)</f>
        <v>2</v>
      </c>
      <c r="R325">
        <f>_xlfn.XLOOKUP(Table1[[#This Row],[session_id]],[1]chats_with_feedback!$A:$A,[1]chats_with_feedback!$G:$G)</f>
        <v>3</v>
      </c>
      <c r="S325">
        <f>_xlfn.XLOOKUP(Table1[[#This Row],[session_id]],[1]chats_with_feedback!$A:$A,[1]chats_with_feedback!$J:$J)</f>
        <v>1</v>
      </c>
      <c r="T325" t="str">
        <f>_xlfn.XLOOKUP(Table1[[#This Row],[csat_score]],Sheet2!A:A,Sheet2!D:D)</f>
        <v>Baja</v>
      </c>
      <c r="U325" t="str">
        <f>_xlfn.XLOOKUP(Table1[[#This Row],[nps_score]],Sheet2!B:B,Sheet2!E:E)</f>
        <v>detractor</v>
      </c>
      <c r="V325" t="str">
        <f>_xlfn.XLOOKUP(Table1[[#This Row],[resolution_numeric]],Sheet2!C:C,Sheet2!F:F)</f>
        <v>no</v>
      </c>
      <c r="W325">
        <f>1</f>
        <v>1</v>
      </c>
      <c r="X325">
        <f>IF(ISBLANK(Table1[[#This Row],[nps_category]]),0,1)</f>
        <v>1</v>
      </c>
    </row>
    <row r="326" spans="1:24" x14ac:dyDescent="0.25">
      <c r="A326" t="s">
        <v>975</v>
      </c>
      <c r="B326" t="s">
        <v>976</v>
      </c>
      <c r="C326" s="1">
        <v>46145</v>
      </c>
      <c r="D326" t="s">
        <v>22</v>
      </c>
      <c r="E326" t="b">
        <v>0</v>
      </c>
      <c r="F326">
        <v>1</v>
      </c>
      <c r="G326" s="2">
        <v>0.59513888888888888</v>
      </c>
      <c r="H326" t="s">
        <v>977</v>
      </c>
      <c r="I326" t="s">
        <v>977</v>
      </c>
      <c r="J326" t="s">
        <v>22</v>
      </c>
      <c r="K326" t="b">
        <v>0</v>
      </c>
      <c r="L326" t="b">
        <v>0</v>
      </c>
      <c r="M326">
        <v>4.8417000000000003</v>
      </c>
      <c r="N326">
        <v>5</v>
      </c>
      <c r="O326" t="s">
        <v>51</v>
      </c>
      <c r="P326">
        <v>0.3901</v>
      </c>
      <c r="Q326">
        <f>_xlfn.XLOOKUP(Table1[[#This Row],[session_id]],[1]chats_with_feedback!$A:$A,[1]chats_with_feedback!$F:$F)</f>
        <v>3</v>
      </c>
      <c r="R326">
        <f>_xlfn.XLOOKUP(Table1[[#This Row],[session_id]],[1]chats_with_feedback!$A:$A,[1]chats_with_feedback!$G:$G)</f>
        <v>7</v>
      </c>
      <c r="S326">
        <f>_xlfn.XLOOKUP(Table1[[#This Row],[session_id]],[1]chats_with_feedback!$A:$A,[1]chats_with_feedback!$J:$J)</f>
        <v>2</v>
      </c>
      <c r="T326" t="str">
        <f>_xlfn.XLOOKUP(Table1[[#This Row],[csat_score]],Sheet2!A:A,Sheet2!D:D)</f>
        <v>Media</v>
      </c>
      <c r="U326" t="str">
        <f>_xlfn.XLOOKUP(Table1[[#This Row],[nps_score]],Sheet2!B:B,Sheet2!E:E)</f>
        <v>passive</v>
      </c>
      <c r="V326" t="str">
        <f>_xlfn.XLOOKUP(Table1[[#This Row],[resolution_numeric]],Sheet2!C:C,Sheet2!F:F)</f>
        <v>partial</v>
      </c>
      <c r="W326">
        <f>1</f>
        <v>1</v>
      </c>
      <c r="X326">
        <f>IF(ISBLANK(Table1[[#This Row],[nps_category]]),0,1)</f>
        <v>1</v>
      </c>
    </row>
    <row r="327" spans="1:24" x14ac:dyDescent="0.25">
      <c r="A327" t="s">
        <v>984</v>
      </c>
      <c r="B327" t="s">
        <v>985</v>
      </c>
      <c r="C327" s="1">
        <v>46145</v>
      </c>
      <c r="D327" t="s">
        <v>22</v>
      </c>
      <c r="E327" t="b">
        <v>0</v>
      </c>
      <c r="F327">
        <v>1</v>
      </c>
      <c r="G327" s="2">
        <v>0.17847222222222223</v>
      </c>
      <c r="H327" t="s">
        <v>986</v>
      </c>
      <c r="I327" t="s">
        <v>986</v>
      </c>
      <c r="J327" t="s">
        <v>22</v>
      </c>
      <c r="K327" t="b">
        <v>0</v>
      </c>
      <c r="L327" t="b">
        <v>0</v>
      </c>
      <c r="M327">
        <v>7.8411999999999997</v>
      </c>
      <c r="N327">
        <v>5</v>
      </c>
      <c r="O327" t="s">
        <v>987</v>
      </c>
      <c r="P327">
        <v>0.2293</v>
      </c>
      <c r="Q327">
        <f>_xlfn.XLOOKUP(Table1[[#This Row],[session_id]],[1]chats_with_feedback!$A:$A,[1]chats_with_feedback!$F:$F)</f>
        <v>2</v>
      </c>
      <c r="R327">
        <f>_xlfn.XLOOKUP(Table1[[#This Row],[session_id]],[1]chats_with_feedback!$A:$A,[1]chats_with_feedback!$G:$G)</f>
        <v>3</v>
      </c>
      <c r="S327">
        <f>_xlfn.XLOOKUP(Table1[[#This Row],[session_id]],[1]chats_with_feedback!$A:$A,[1]chats_with_feedback!$J:$J)</f>
        <v>1</v>
      </c>
      <c r="T327" t="str">
        <f>_xlfn.XLOOKUP(Table1[[#This Row],[csat_score]],Sheet2!A:A,Sheet2!D:D)</f>
        <v>Baja</v>
      </c>
      <c r="U327" t="str">
        <f>_xlfn.XLOOKUP(Table1[[#This Row],[nps_score]],Sheet2!B:B,Sheet2!E:E)</f>
        <v>detractor</v>
      </c>
      <c r="V327" t="str">
        <f>_xlfn.XLOOKUP(Table1[[#This Row],[resolution_numeric]],Sheet2!C:C,Sheet2!F:F)</f>
        <v>no</v>
      </c>
      <c r="W327">
        <f>1</f>
        <v>1</v>
      </c>
      <c r="X327">
        <f>IF(ISBLANK(Table1[[#This Row],[nps_category]]),0,1)</f>
        <v>1</v>
      </c>
    </row>
    <row r="328" spans="1:24" x14ac:dyDescent="0.25">
      <c r="A328" t="s">
        <v>988</v>
      </c>
      <c r="B328" t="s">
        <v>989</v>
      </c>
      <c r="C328" s="1">
        <v>46145</v>
      </c>
      <c r="D328" t="s">
        <v>45</v>
      </c>
      <c r="E328" t="b">
        <v>1</v>
      </c>
      <c r="F328">
        <v>1</v>
      </c>
      <c r="G328" s="2">
        <v>0.21805555555555556</v>
      </c>
      <c r="H328" t="s">
        <v>990</v>
      </c>
      <c r="I328" t="s">
        <v>990</v>
      </c>
      <c r="J328" t="s">
        <v>45</v>
      </c>
      <c r="K328" t="b">
        <v>1</v>
      </c>
      <c r="L328" t="b">
        <v>0</v>
      </c>
      <c r="M328">
        <v>4.4822333333333297</v>
      </c>
      <c r="N328">
        <v>5</v>
      </c>
      <c r="O328" t="s">
        <v>226</v>
      </c>
      <c r="P328">
        <v>0.40400000000000003</v>
      </c>
      <c r="Q328">
        <f>_xlfn.XLOOKUP(Table1[[#This Row],[session_id]],[1]chats_with_feedback!$A:$A,[1]chats_with_feedback!$F:$F)</f>
        <v>3</v>
      </c>
      <c r="R328">
        <f>_xlfn.XLOOKUP(Table1[[#This Row],[session_id]],[1]chats_with_feedback!$A:$A,[1]chats_with_feedback!$G:$G)</f>
        <v>7</v>
      </c>
      <c r="S328">
        <f>_xlfn.XLOOKUP(Table1[[#This Row],[session_id]],[1]chats_with_feedback!$A:$A,[1]chats_with_feedback!$J:$J)</f>
        <v>2</v>
      </c>
      <c r="T328" t="str">
        <f>_xlfn.XLOOKUP(Table1[[#This Row],[csat_score]],Sheet2!A:A,Sheet2!D:D)</f>
        <v>Media</v>
      </c>
      <c r="U328" t="str">
        <f>_xlfn.XLOOKUP(Table1[[#This Row],[nps_score]],Sheet2!B:B,Sheet2!E:E)</f>
        <v>passive</v>
      </c>
      <c r="V328" t="str">
        <f>_xlfn.XLOOKUP(Table1[[#This Row],[resolution_numeric]],Sheet2!C:C,Sheet2!F:F)</f>
        <v>partial</v>
      </c>
      <c r="W328">
        <f>1</f>
        <v>1</v>
      </c>
      <c r="X328">
        <f>IF(ISBLANK(Table1[[#This Row],[nps_category]]),0,1)</f>
        <v>1</v>
      </c>
    </row>
    <row r="329" spans="1:24" x14ac:dyDescent="0.25">
      <c r="A329" t="s">
        <v>991</v>
      </c>
      <c r="B329" t="s">
        <v>992</v>
      </c>
      <c r="C329" s="1">
        <v>46145</v>
      </c>
      <c r="D329" t="s">
        <v>22</v>
      </c>
      <c r="E329" t="b">
        <v>0</v>
      </c>
      <c r="F329">
        <v>1</v>
      </c>
      <c r="G329" s="2">
        <v>0.20416666666666666</v>
      </c>
      <c r="H329" t="s">
        <v>993</v>
      </c>
      <c r="I329" t="s">
        <v>993</v>
      </c>
      <c r="J329" t="s">
        <v>22</v>
      </c>
      <c r="K329" t="b">
        <v>0</v>
      </c>
      <c r="L329" t="b">
        <v>0</v>
      </c>
      <c r="M329">
        <v>4.4396166666666605</v>
      </c>
      <c r="N329">
        <v>5</v>
      </c>
      <c r="O329" t="s">
        <v>994</v>
      </c>
      <c r="P329">
        <v>0.3906</v>
      </c>
      <c r="Q329">
        <f>_xlfn.XLOOKUP(Table1[[#This Row],[session_id]],[1]chats_with_feedback!$A:$A,[1]chats_with_feedback!$F:$F)</f>
        <v>3</v>
      </c>
      <c r="R329">
        <f>_xlfn.XLOOKUP(Table1[[#This Row],[session_id]],[1]chats_with_feedback!$A:$A,[1]chats_with_feedback!$G:$G)</f>
        <v>7</v>
      </c>
      <c r="S329">
        <f>_xlfn.XLOOKUP(Table1[[#This Row],[session_id]],[1]chats_with_feedback!$A:$A,[1]chats_with_feedback!$J:$J)</f>
        <v>2</v>
      </c>
      <c r="T329" t="str">
        <f>_xlfn.XLOOKUP(Table1[[#This Row],[csat_score]],Sheet2!A:A,Sheet2!D:D)</f>
        <v>Media</v>
      </c>
      <c r="U329" t="str">
        <f>_xlfn.XLOOKUP(Table1[[#This Row],[nps_score]],Sheet2!B:B,Sheet2!E:E)</f>
        <v>passive</v>
      </c>
      <c r="V329" t="str">
        <f>_xlfn.XLOOKUP(Table1[[#This Row],[resolution_numeric]],Sheet2!C:C,Sheet2!F:F)</f>
        <v>partial</v>
      </c>
      <c r="W329">
        <f>1</f>
        <v>1</v>
      </c>
      <c r="X329">
        <f>IF(ISBLANK(Table1[[#This Row],[nps_category]]),0,1)</f>
        <v>1</v>
      </c>
    </row>
    <row r="330" spans="1:24" x14ac:dyDescent="0.25">
      <c r="A330" t="s">
        <v>995</v>
      </c>
      <c r="B330" t="s">
        <v>996</v>
      </c>
      <c r="C330" s="1">
        <v>46145</v>
      </c>
      <c r="D330" t="s">
        <v>45</v>
      </c>
      <c r="E330" t="b">
        <v>1</v>
      </c>
      <c r="F330">
        <v>1</v>
      </c>
      <c r="G330" s="2">
        <v>0.34583333333333333</v>
      </c>
      <c r="H330" t="s">
        <v>997</v>
      </c>
      <c r="I330" t="s">
        <v>997</v>
      </c>
      <c r="J330" t="s">
        <v>45</v>
      </c>
      <c r="K330" t="b">
        <v>1</v>
      </c>
      <c r="L330" t="b">
        <v>0</v>
      </c>
      <c r="M330">
        <v>3.9959500000000001</v>
      </c>
      <c r="N330">
        <v>5</v>
      </c>
      <c r="O330" t="s">
        <v>51</v>
      </c>
      <c r="P330">
        <v>0.44779999999999998</v>
      </c>
      <c r="Q330">
        <f>_xlfn.XLOOKUP(Table1[[#This Row],[session_id]],[1]chats_with_feedback!$A:$A,[1]chats_with_feedback!$F:$F)</f>
        <v>5</v>
      </c>
      <c r="R330">
        <f>_xlfn.XLOOKUP(Table1[[#This Row],[session_id]],[1]chats_with_feedback!$A:$A,[1]chats_with_feedback!$G:$G)</f>
        <v>10</v>
      </c>
      <c r="S330">
        <f>_xlfn.XLOOKUP(Table1[[#This Row],[session_id]],[1]chats_with_feedback!$A:$A,[1]chats_with_feedback!$J:$J)</f>
        <v>3</v>
      </c>
      <c r="T330" t="str">
        <f>_xlfn.XLOOKUP(Table1[[#This Row],[csat_score]],Sheet2!A:A,Sheet2!D:D)</f>
        <v>Alta</v>
      </c>
      <c r="U330" t="str">
        <f>_xlfn.XLOOKUP(Table1[[#This Row],[nps_score]],Sheet2!B:B,Sheet2!E:E)</f>
        <v>promoter</v>
      </c>
      <c r="V330" t="str">
        <f>_xlfn.XLOOKUP(Table1[[#This Row],[resolution_numeric]],Sheet2!C:C,Sheet2!F:F)</f>
        <v>yes</v>
      </c>
      <c r="W330">
        <f>1</f>
        <v>1</v>
      </c>
      <c r="X330">
        <f>IF(ISBLANK(Table1[[#This Row],[nps_category]]),0,1)</f>
        <v>1</v>
      </c>
    </row>
    <row r="331" spans="1:24" x14ac:dyDescent="0.25">
      <c r="A331" t="s">
        <v>1004</v>
      </c>
      <c r="B331" t="s">
        <v>1005</v>
      </c>
      <c r="C331" s="1">
        <v>46145</v>
      </c>
      <c r="D331" t="s">
        <v>45</v>
      </c>
      <c r="E331" t="b">
        <v>1</v>
      </c>
      <c r="F331">
        <v>1</v>
      </c>
      <c r="G331" s="2">
        <v>6.5972222222222224E-2</v>
      </c>
      <c r="H331" t="s">
        <v>1006</v>
      </c>
      <c r="I331" t="s">
        <v>1006</v>
      </c>
      <c r="J331" t="s">
        <v>45</v>
      </c>
      <c r="K331" t="b">
        <v>1</v>
      </c>
      <c r="L331" t="b">
        <v>0</v>
      </c>
      <c r="M331">
        <v>5.2178166666666606</v>
      </c>
      <c r="N331">
        <v>5</v>
      </c>
      <c r="O331" t="s">
        <v>824</v>
      </c>
      <c r="P331">
        <v>0.30120000000000002</v>
      </c>
      <c r="Q331">
        <f>_xlfn.XLOOKUP(Table1[[#This Row],[session_id]],[1]chats_with_feedback!$A:$A,[1]chats_with_feedback!$F:$F)</f>
        <v>3</v>
      </c>
      <c r="R331">
        <f>_xlfn.XLOOKUP(Table1[[#This Row],[session_id]],[1]chats_with_feedback!$A:$A,[1]chats_with_feedback!$G:$G)</f>
        <v>7</v>
      </c>
      <c r="S331">
        <f>_xlfn.XLOOKUP(Table1[[#This Row],[session_id]],[1]chats_with_feedback!$A:$A,[1]chats_with_feedback!$J:$J)</f>
        <v>2</v>
      </c>
      <c r="T331" t="str">
        <f>_xlfn.XLOOKUP(Table1[[#This Row],[csat_score]],Sheet2!A:A,Sheet2!D:D)</f>
        <v>Media</v>
      </c>
      <c r="U331" t="str">
        <f>_xlfn.XLOOKUP(Table1[[#This Row],[nps_score]],Sheet2!B:B,Sheet2!E:E)</f>
        <v>passive</v>
      </c>
      <c r="V331" t="str">
        <f>_xlfn.XLOOKUP(Table1[[#This Row],[resolution_numeric]],Sheet2!C:C,Sheet2!F:F)</f>
        <v>partial</v>
      </c>
      <c r="W331">
        <f>1</f>
        <v>1</v>
      </c>
      <c r="X331">
        <f>IF(ISBLANK(Table1[[#This Row],[nps_category]]),0,1)</f>
        <v>1</v>
      </c>
    </row>
    <row r="332" spans="1:24" x14ac:dyDescent="0.25">
      <c r="A332" t="s">
        <v>1025</v>
      </c>
      <c r="B332" t="s">
        <v>1026</v>
      </c>
      <c r="C332" s="1">
        <v>46145</v>
      </c>
      <c r="D332" t="s">
        <v>45</v>
      </c>
      <c r="E332" t="b">
        <v>1</v>
      </c>
      <c r="F332">
        <v>1</v>
      </c>
      <c r="G332" s="2">
        <v>0.38055555555555554</v>
      </c>
      <c r="H332" t="s">
        <v>1027</v>
      </c>
      <c r="I332" t="s">
        <v>1027</v>
      </c>
      <c r="J332" t="s">
        <v>45</v>
      </c>
      <c r="K332" t="b">
        <v>1</v>
      </c>
      <c r="L332" t="b">
        <v>0</v>
      </c>
      <c r="M332">
        <v>4.3839666666666606</v>
      </c>
      <c r="N332">
        <v>5</v>
      </c>
      <c r="O332" t="s">
        <v>51</v>
      </c>
      <c r="P332">
        <v>0.44869999999999999</v>
      </c>
      <c r="Q332">
        <f>_xlfn.XLOOKUP(Table1[[#This Row],[session_id]],[1]chats_with_feedback!$A:$A,[1]chats_with_feedback!$F:$F)</f>
        <v>5</v>
      </c>
      <c r="R332">
        <f>_xlfn.XLOOKUP(Table1[[#This Row],[session_id]],[1]chats_with_feedback!$A:$A,[1]chats_with_feedback!$G:$G)</f>
        <v>10</v>
      </c>
      <c r="S332">
        <f>_xlfn.XLOOKUP(Table1[[#This Row],[session_id]],[1]chats_with_feedback!$A:$A,[1]chats_with_feedback!$J:$J)</f>
        <v>3</v>
      </c>
      <c r="T332" t="str">
        <f>_xlfn.XLOOKUP(Table1[[#This Row],[csat_score]],Sheet2!A:A,Sheet2!D:D)</f>
        <v>Alta</v>
      </c>
      <c r="U332" t="str">
        <f>_xlfn.XLOOKUP(Table1[[#This Row],[nps_score]],Sheet2!B:B,Sheet2!E:E)</f>
        <v>promoter</v>
      </c>
      <c r="V332" t="str">
        <f>_xlfn.XLOOKUP(Table1[[#This Row],[resolution_numeric]],Sheet2!C:C,Sheet2!F:F)</f>
        <v>yes</v>
      </c>
      <c r="W332">
        <f>1</f>
        <v>1</v>
      </c>
      <c r="X332">
        <f>IF(ISBLANK(Table1[[#This Row],[nps_category]]),0,1)</f>
        <v>1</v>
      </c>
    </row>
    <row r="333" spans="1:24" x14ac:dyDescent="0.25">
      <c r="A333" t="s">
        <v>1034</v>
      </c>
      <c r="B333" t="s">
        <v>1035</v>
      </c>
      <c r="C333" s="1">
        <v>46145</v>
      </c>
      <c r="D333" t="s">
        <v>45</v>
      </c>
      <c r="E333" t="b">
        <v>1</v>
      </c>
      <c r="F333">
        <v>1</v>
      </c>
      <c r="G333" s="2">
        <v>9.7222222222222224E-2</v>
      </c>
      <c r="H333" t="s">
        <v>1036</v>
      </c>
      <c r="I333" t="s">
        <v>1036</v>
      </c>
      <c r="J333" t="s">
        <v>45</v>
      </c>
      <c r="K333" t="b">
        <v>1</v>
      </c>
      <c r="L333" t="b">
        <v>0</v>
      </c>
      <c r="M333">
        <v>3.9548166666666602</v>
      </c>
      <c r="N333">
        <v>5</v>
      </c>
      <c r="O333" t="s">
        <v>55</v>
      </c>
      <c r="P333">
        <v>0.246</v>
      </c>
      <c r="Q333">
        <f>_xlfn.XLOOKUP(Table1[[#This Row],[session_id]],[1]chats_with_feedback!$A:$A,[1]chats_with_feedback!$F:$F)</f>
        <v>2</v>
      </c>
      <c r="R333">
        <f>_xlfn.XLOOKUP(Table1[[#This Row],[session_id]],[1]chats_with_feedback!$A:$A,[1]chats_with_feedback!$G:$G)</f>
        <v>3</v>
      </c>
      <c r="S333">
        <f>_xlfn.XLOOKUP(Table1[[#This Row],[session_id]],[1]chats_with_feedback!$A:$A,[1]chats_with_feedback!$J:$J)</f>
        <v>1</v>
      </c>
      <c r="T333" t="str">
        <f>_xlfn.XLOOKUP(Table1[[#This Row],[csat_score]],Sheet2!A:A,Sheet2!D:D)</f>
        <v>Baja</v>
      </c>
      <c r="U333" t="str">
        <f>_xlfn.XLOOKUP(Table1[[#This Row],[nps_score]],Sheet2!B:B,Sheet2!E:E)</f>
        <v>detractor</v>
      </c>
      <c r="V333" t="str">
        <f>_xlfn.XLOOKUP(Table1[[#This Row],[resolution_numeric]],Sheet2!C:C,Sheet2!F:F)</f>
        <v>no</v>
      </c>
      <c r="W333">
        <f>1</f>
        <v>1</v>
      </c>
      <c r="X333">
        <f>IF(ISBLANK(Table1[[#This Row],[nps_category]]),0,1)</f>
        <v>1</v>
      </c>
    </row>
    <row r="334" spans="1:24" x14ac:dyDescent="0.25">
      <c r="A334" t="s">
        <v>1049</v>
      </c>
      <c r="B334" t="s">
        <v>1050</v>
      </c>
      <c r="C334" s="1">
        <v>46145</v>
      </c>
      <c r="D334" t="s">
        <v>22</v>
      </c>
      <c r="E334" t="b">
        <v>0</v>
      </c>
      <c r="F334">
        <v>1</v>
      </c>
      <c r="G334" s="2">
        <v>0.57430555555555551</v>
      </c>
      <c r="H334" t="s">
        <v>1051</v>
      </c>
      <c r="I334" t="s">
        <v>1051</v>
      </c>
      <c r="J334" t="s">
        <v>22</v>
      </c>
      <c r="K334" t="b">
        <v>0</v>
      </c>
      <c r="L334" t="b">
        <v>0</v>
      </c>
      <c r="M334">
        <v>3.6851833333333297</v>
      </c>
      <c r="N334">
        <v>5</v>
      </c>
      <c r="O334" t="s">
        <v>51</v>
      </c>
      <c r="P334">
        <v>0.4849</v>
      </c>
      <c r="Q334">
        <f>_xlfn.XLOOKUP(Table1[[#This Row],[session_id]],[1]chats_with_feedback!$A:$A,[1]chats_with_feedback!$F:$F)</f>
        <v>5</v>
      </c>
      <c r="R334">
        <f>_xlfn.XLOOKUP(Table1[[#This Row],[session_id]],[1]chats_with_feedback!$A:$A,[1]chats_with_feedback!$G:$G)</f>
        <v>10</v>
      </c>
      <c r="S334">
        <f>_xlfn.XLOOKUP(Table1[[#This Row],[session_id]],[1]chats_with_feedback!$A:$A,[1]chats_with_feedback!$J:$J)</f>
        <v>3</v>
      </c>
      <c r="T334" t="str">
        <f>_xlfn.XLOOKUP(Table1[[#This Row],[csat_score]],Sheet2!A:A,Sheet2!D:D)</f>
        <v>Alta</v>
      </c>
      <c r="U334" t="str">
        <f>_xlfn.XLOOKUP(Table1[[#This Row],[nps_score]],Sheet2!B:B,Sheet2!E:E)</f>
        <v>promoter</v>
      </c>
      <c r="V334" t="str">
        <f>_xlfn.XLOOKUP(Table1[[#This Row],[resolution_numeric]],Sheet2!C:C,Sheet2!F:F)</f>
        <v>yes</v>
      </c>
      <c r="W334">
        <f>1</f>
        <v>1</v>
      </c>
      <c r="X334">
        <f>IF(ISBLANK(Table1[[#This Row],[nps_category]]),0,1)</f>
        <v>1</v>
      </c>
    </row>
    <row r="335" spans="1:24" x14ac:dyDescent="0.25">
      <c r="A335" t="s">
        <v>100</v>
      </c>
      <c r="B335" t="s">
        <v>101</v>
      </c>
      <c r="C335" s="1">
        <v>46144</v>
      </c>
      <c r="D335" t="s">
        <v>22</v>
      </c>
      <c r="E335" t="b">
        <v>0</v>
      </c>
      <c r="F335">
        <v>1</v>
      </c>
      <c r="G335" s="2">
        <v>0.10625</v>
      </c>
      <c r="H335" t="s">
        <v>102</v>
      </c>
      <c r="I335" t="s">
        <v>102</v>
      </c>
      <c r="J335" t="s">
        <v>22</v>
      </c>
      <c r="K335" t="b">
        <v>0</v>
      </c>
      <c r="L335" t="b">
        <v>0</v>
      </c>
      <c r="M335">
        <v>18.205783333333304</v>
      </c>
      <c r="N335">
        <v>5</v>
      </c>
      <c r="O335" t="s">
        <v>36</v>
      </c>
      <c r="P335">
        <v>0.35780000000000001</v>
      </c>
      <c r="Q335">
        <f>_xlfn.XLOOKUP(Table1[[#This Row],[session_id]],[1]chats_with_feedback!$A:$A,[1]chats_with_feedback!$F:$F)</f>
        <v>2</v>
      </c>
      <c r="R335">
        <f>_xlfn.XLOOKUP(Table1[[#This Row],[session_id]],[1]chats_with_feedback!$A:$A,[1]chats_with_feedback!$G:$G)</f>
        <v>3</v>
      </c>
      <c r="S335">
        <f>_xlfn.XLOOKUP(Table1[[#This Row],[session_id]],[1]chats_with_feedback!$A:$A,[1]chats_with_feedback!$J:$J)</f>
        <v>1</v>
      </c>
      <c r="T335" t="str">
        <f>_xlfn.XLOOKUP(Table1[[#This Row],[csat_score]],Sheet2!A:A,Sheet2!D:D)</f>
        <v>Baja</v>
      </c>
      <c r="U335" t="str">
        <f>_xlfn.XLOOKUP(Table1[[#This Row],[nps_score]],Sheet2!B:B,Sheet2!E:E)</f>
        <v>detractor</v>
      </c>
      <c r="V335" t="str">
        <f>_xlfn.XLOOKUP(Table1[[#This Row],[resolution_numeric]],Sheet2!C:C,Sheet2!F:F)</f>
        <v>no</v>
      </c>
      <c r="W335">
        <f>1</f>
        <v>1</v>
      </c>
      <c r="X335">
        <f>IF(ISBLANK(Table1[[#This Row],[nps_category]]),0,1)</f>
        <v>1</v>
      </c>
    </row>
    <row r="336" spans="1:24" x14ac:dyDescent="0.25">
      <c r="A336" t="s">
        <v>1077</v>
      </c>
      <c r="B336" t="s">
        <v>1078</v>
      </c>
      <c r="C336" s="1">
        <v>46145</v>
      </c>
      <c r="D336" t="s">
        <v>45</v>
      </c>
      <c r="E336" t="b">
        <v>1</v>
      </c>
      <c r="F336">
        <v>1</v>
      </c>
      <c r="G336" s="2">
        <v>0.39097222222222222</v>
      </c>
      <c r="H336" t="s">
        <v>1079</v>
      </c>
      <c r="I336" t="s">
        <v>1079</v>
      </c>
      <c r="J336" t="s">
        <v>45</v>
      </c>
      <c r="K336" t="b">
        <v>1</v>
      </c>
      <c r="L336" t="b">
        <v>0</v>
      </c>
      <c r="M336">
        <v>5.8127666666666595</v>
      </c>
      <c r="N336">
        <v>5</v>
      </c>
      <c r="O336" t="s">
        <v>51</v>
      </c>
      <c r="P336">
        <v>0.50860000000000005</v>
      </c>
      <c r="Q336">
        <f>_xlfn.XLOOKUP(Table1[[#This Row],[session_id]],[1]chats_with_feedback!$A:$A,[1]chats_with_feedback!$F:$F)</f>
        <v>5</v>
      </c>
      <c r="R336">
        <f>_xlfn.XLOOKUP(Table1[[#This Row],[session_id]],[1]chats_with_feedback!$A:$A,[1]chats_with_feedback!$G:$G)</f>
        <v>10</v>
      </c>
      <c r="S336">
        <f>_xlfn.XLOOKUP(Table1[[#This Row],[session_id]],[1]chats_with_feedback!$A:$A,[1]chats_with_feedback!$J:$J)</f>
        <v>3</v>
      </c>
      <c r="T336" t="str">
        <f>_xlfn.XLOOKUP(Table1[[#This Row],[csat_score]],Sheet2!A:A,Sheet2!D:D)</f>
        <v>Alta</v>
      </c>
      <c r="U336" t="str">
        <f>_xlfn.XLOOKUP(Table1[[#This Row],[nps_score]],Sheet2!B:B,Sheet2!E:E)</f>
        <v>promoter</v>
      </c>
      <c r="V336" t="str">
        <f>_xlfn.XLOOKUP(Table1[[#This Row],[resolution_numeric]],Sheet2!C:C,Sheet2!F:F)</f>
        <v>yes</v>
      </c>
      <c r="W336">
        <f>1</f>
        <v>1</v>
      </c>
      <c r="X336">
        <f>IF(ISBLANK(Table1[[#This Row],[nps_category]]),0,1)</f>
        <v>1</v>
      </c>
    </row>
    <row r="337" spans="1:24" x14ac:dyDescent="0.25">
      <c r="A337" t="s">
        <v>1083</v>
      </c>
      <c r="B337" t="s">
        <v>1084</v>
      </c>
      <c r="C337" s="1">
        <v>46145</v>
      </c>
      <c r="D337" t="s">
        <v>45</v>
      </c>
      <c r="E337" t="b">
        <v>1</v>
      </c>
      <c r="F337">
        <v>1</v>
      </c>
      <c r="G337" s="2">
        <v>0.25972222222222224</v>
      </c>
      <c r="H337" t="s">
        <v>1085</v>
      </c>
      <c r="I337" t="s">
        <v>1085</v>
      </c>
      <c r="J337" t="s">
        <v>45</v>
      </c>
      <c r="K337" t="b">
        <v>1</v>
      </c>
      <c r="L337" t="b">
        <v>0</v>
      </c>
      <c r="M337">
        <v>22.864733333333298</v>
      </c>
      <c r="N337">
        <v>5</v>
      </c>
      <c r="O337" t="s">
        <v>63</v>
      </c>
      <c r="P337">
        <v>0.27839999999999998</v>
      </c>
      <c r="Q337">
        <f>_xlfn.XLOOKUP(Table1[[#This Row],[session_id]],[1]chats_with_feedback!$A:$A,[1]chats_with_feedback!$F:$F)</f>
        <v>2</v>
      </c>
      <c r="R337">
        <f>_xlfn.XLOOKUP(Table1[[#This Row],[session_id]],[1]chats_with_feedback!$A:$A,[1]chats_with_feedback!$G:$G)</f>
        <v>3</v>
      </c>
      <c r="S337">
        <f>_xlfn.XLOOKUP(Table1[[#This Row],[session_id]],[1]chats_with_feedback!$A:$A,[1]chats_with_feedback!$J:$J)</f>
        <v>1</v>
      </c>
      <c r="T337" t="str">
        <f>_xlfn.XLOOKUP(Table1[[#This Row],[csat_score]],Sheet2!A:A,Sheet2!D:D)</f>
        <v>Baja</v>
      </c>
      <c r="U337" t="str">
        <f>_xlfn.XLOOKUP(Table1[[#This Row],[nps_score]],Sheet2!B:B,Sheet2!E:E)</f>
        <v>detractor</v>
      </c>
      <c r="V337" t="str">
        <f>_xlfn.XLOOKUP(Table1[[#This Row],[resolution_numeric]],Sheet2!C:C,Sheet2!F:F)</f>
        <v>no</v>
      </c>
      <c r="W337">
        <f>1</f>
        <v>1</v>
      </c>
      <c r="X337">
        <f>IF(ISBLANK(Table1[[#This Row],[nps_category]]),0,1)</f>
        <v>1</v>
      </c>
    </row>
    <row r="338" spans="1:24" x14ac:dyDescent="0.25">
      <c r="A338" t="s">
        <v>1106</v>
      </c>
      <c r="B338" t="s">
        <v>1107</v>
      </c>
      <c r="C338" s="1">
        <v>46145</v>
      </c>
      <c r="D338" t="s">
        <v>45</v>
      </c>
      <c r="E338" t="b">
        <v>1</v>
      </c>
      <c r="F338">
        <v>1</v>
      </c>
      <c r="G338" s="2">
        <v>4.2361111111111113E-2</v>
      </c>
      <c r="H338" t="s">
        <v>1108</v>
      </c>
      <c r="I338" t="s">
        <v>1108</v>
      </c>
      <c r="J338" t="s">
        <v>45</v>
      </c>
      <c r="K338" t="b">
        <v>1</v>
      </c>
      <c r="L338" t="b">
        <v>0</v>
      </c>
      <c r="M338">
        <v>8.9073666666666593</v>
      </c>
      <c r="N338">
        <v>5</v>
      </c>
      <c r="O338" t="s">
        <v>321</v>
      </c>
      <c r="P338">
        <v>0.72199999999999998</v>
      </c>
      <c r="Q338">
        <f>_xlfn.XLOOKUP(Table1[[#This Row],[session_id]],[1]chats_with_feedback!$A:$A,[1]chats_with_feedback!$F:$F)</f>
        <v>5</v>
      </c>
      <c r="R338">
        <f>_xlfn.XLOOKUP(Table1[[#This Row],[session_id]],[1]chats_with_feedback!$A:$A,[1]chats_with_feedback!$G:$G)</f>
        <v>10</v>
      </c>
      <c r="S338">
        <f>_xlfn.XLOOKUP(Table1[[#This Row],[session_id]],[1]chats_with_feedback!$A:$A,[1]chats_with_feedback!$J:$J)</f>
        <v>3</v>
      </c>
      <c r="T338" t="str">
        <f>_xlfn.XLOOKUP(Table1[[#This Row],[csat_score]],Sheet2!A:A,Sheet2!D:D)</f>
        <v>Alta</v>
      </c>
      <c r="U338" t="str">
        <f>_xlfn.XLOOKUP(Table1[[#This Row],[nps_score]],Sheet2!B:B,Sheet2!E:E)</f>
        <v>promoter</v>
      </c>
      <c r="V338" t="str">
        <f>_xlfn.XLOOKUP(Table1[[#This Row],[resolution_numeric]],Sheet2!C:C,Sheet2!F:F)</f>
        <v>yes</v>
      </c>
      <c r="W338">
        <f>1</f>
        <v>1</v>
      </c>
      <c r="X338">
        <f>IF(ISBLANK(Table1[[#This Row],[nps_category]]),0,1)</f>
        <v>1</v>
      </c>
    </row>
    <row r="339" spans="1:24" x14ac:dyDescent="0.25">
      <c r="A339" t="s">
        <v>1109</v>
      </c>
      <c r="B339" t="s">
        <v>1110</v>
      </c>
      <c r="C339" s="1">
        <v>46145</v>
      </c>
      <c r="D339" t="s">
        <v>45</v>
      </c>
      <c r="E339" t="b">
        <v>1</v>
      </c>
      <c r="F339">
        <v>1</v>
      </c>
      <c r="G339" s="2">
        <v>0.22916666666666666</v>
      </c>
      <c r="H339" t="s">
        <v>1111</v>
      </c>
      <c r="I339" t="s">
        <v>1111</v>
      </c>
      <c r="J339" t="s">
        <v>45</v>
      </c>
      <c r="K339" t="b">
        <v>1</v>
      </c>
      <c r="L339" t="b">
        <v>0</v>
      </c>
      <c r="M339">
        <v>4.8477666666666597</v>
      </c>
      <c r="N339">
        <v>5</v>
      </c>
      <c r="O339" t="s">
        <v>226</v>
      </c>
      <c r="P339">
        <v>0.29759999999999998</v>
      </c>
      <c r="Q339">
        <f>_xlfn.XLOOKUP(Table1[[#This Row],[session_id]],[1]chats_with_feedback!$A:$A,[1]chats_with_feedback!$F:$F)</f>
        <v>3</v>
      </c>
      <c r="R339">
        <f>_xlfn.XLOOKUP(Table1[[#This Row],[session_id]],[1]chats_with_feedback!$A:$A,[1]chats_with_feedback!$G:$G)</f>
        <v>7</v>
      </c>
      <c r="S339">
        <f>_xlfn.XLOOKUP(Table1[[#This Row],[session_id]],[1]chats_with_feedback!$A:$A,[1]chats_with_feedback!$J:$J)</f>
        <v>2</v>
      </c>
      <c r="T339" t="str">
        <f>_xlfn.XLOOKUP(Table1[[#This Row],[csat_score]],Sheet2!A:A,Sheet2!D:D)</f>
        <v>Media</v>
      </c>
      <c r="U339" t="str">
        <f>_xlfn.XLOOKUP(Table1[[#This Row],[nps_score]],Sheet2!B:B,Sheet2!E:E)</f>
        <v>passive</v>
      </c>
      <c r="V339" t="str">
        <f>_xlfn.XLOOKUP(Table1[[#This Row],[resolution_numeric]],Sheet2!C:C,Sheet2!F:F)</f>
        <v>partial</v>
      </c>
      <c r="W339">
        <f>1</f>
        <v>1</v>
      </c>
      <c r="X339">
        <f>IF(ISBLANK(Table1[[#This Row],[nps_category]]),0,1)</f>
        <v>1</v>
      </c>
    </row>
    <row r="340" spans="1:24" x14ac:dyDescent="0.25">
      <c r="A340" t="s">
        <v>1122</v>
      </c>
      <c r="B340" t="s">
        <v>1123</v>
      </c>
      <c r="C340" s="1">
        <v>46145</v>
      </c>
      <c r="D340" t="s">
        <v>45</v>
      </c>
      <c r="E340" t="b">
        <v>1</v>
      </c>
      <c r="F340">
        <v>1</v>
      </c>
      <c r="G340" s="2">
        <v>0.14444444444444443</v>
      </c>
      <c r="H340" t="s">
        <v>1124</v>
      </c>
      <c r="I340" t="s">
        <v>1124</v>
      </c>
      <c r="J340" t="s">
        <v>45</v>
      </c>
      <c r="K340" t="b">
        <v>1</v>
      </c>
      <c r="L340" t="b">
        <v>0</v>
      </c>
      <c r="M340">
        <v>3.7525833333333298</v>
      </c>
      <c r="N340">
        <v>5</v>
      </c>
      <c r="O340" t="s">
        <v>1125</v>
      </c>
      <c r="P340">
        <v>0.22789999999999999</v>
      </c>
      <c r="Q340">
        <f>_xlfn.XLOOKUP(Table1[[#This Row],[session_id]],[1]chats_with_feedback!$A:$A,[1]chats_with_feedback!$F:$F)</f>
        <v>2</v>
      </c>
      <c r="R340">
        <f>_xlfn.XLOOKUP(Table1[[#This Row],[session_id]],[1]chats_with_feedback!$A:$A,[1]chats_with_feedback!$G:$G)</f>
        <v>3</v>
      </c>
      <c r="S340">
        <f>_xlfn.XLOOKUP(Table1[[#This Row],[session_id]],[1]chats_with_feedback!$A:$A,[1]chats_with_feedback!$J:$J)</f>
        <v>1</v>
      </c>
      <c r="T340" t="str">
        <f>_xlfn.XLOOKUP(Table1[[#This Row],[csat_score]],Sheet2!A:A,Sheet2!D:D)</f>
        <v>Baja</v>
      </c>
      <c r="U340" t="str">
        <f>_xlfn.XLOOKUP(Table1[[#This Row],[nps_score]],Sheet2!B:B,Sheet2!E:E)</f>
        <v>detractor</v>
      </c>
      <c r="V340" t="str">
        <f>_xlfn.XLOOKUP(Table1[[#This Row],[resolution_numeric]],Sheet2!C:C,Sheet2!F:F)</f>
        <v>no</v>
      </c>
      <c r="W340">
        <f>1</f>
        <v>1</v>
      </c>
      <c r="X340">
        <f>IF(ISBLANK(Table1[[#This Row],[nps_category]]),0,1)</f>
        <v>1</v>
      </c>
    </row>
  </sheetData>
  <conditionalFormatting sqref="H2:H340">
    <cfRule type="duplicateValues" dxfId="0" priority="4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EDAB-2AD0-4F36-9FBD-9E8C7A73E710}">
  <dimension ref="A1:H8"/>
  <sheetViews>
    <sheetView workbookViewId="0">
      <selection activeCell="C4" sqref="C4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5" width="10.42578125" customWidth="1"/>
    <col min="6" max="6" width="10" bestFit="1" customWidth="1"/>
    <col min="7" max="7" width="12.5703125" bestFit="1" customWidth="1"/>
    <col min="8" max="8" width="12.5703125" customWidth="1"/>
    <col min="9" max="9" width="15.42578125" bestFit="1" customWidth="1"/>
    <col min="10" max="10" width="18.42578125" bestFit="1" customWidth="1"/>
  </cols>
  <sheetData>
    <row r="1" spans="1:8" x14ac:dyDescent="0.25">
      <c r="A1" s="8" t="s">
        <v>15</v>
      </c>
      <c r="B1" s="8" t="s">
        <v>16</v>
      </c>
      <c r="C1" s="8" t="s">
        <v>19</v>
      </c>
      <c r="D1" s="8" t="s">
        <v>1138</v>
      </c>
      <c r="E1" s="8" t="s">
        <v>17</v>
      </c>
      <c r="F1" s="8" t="s">
        <v>18</v>
      </c>
      <c r="H1" s="8"/>
    </row>
    <row r="2" spans="1:8" x14ac:dyDescent="0.25">
      <c r="A2" s="7">
        <v>2</v>
      </c>
      <c r="B2" s="7">
        <v>3</v>
      </c>
      <c r="C2" s="7">
        <v>1</v>
      </c>
      <c r="D2" s="7" t="s">
        <v>1139</v>
      </c>
      <c r="E2" s="7" t="s">
        <v>313</v>
      </c>
      <c r="F2" s="7" t="s">
        <v>314</v>
      </c>
      <c r="H2" s="7"/>
    </row>
    <row r="3" spans="1:8" x14ac:dyDescent="0.25">
      <c r="A3" s="7">
        <v>3</v>
      </c>
      <c r="B3" s="7">
        <v>7</v>
      </c>
      <c r="C3" s="7">
        <v>3</v>
      </c>
      <c r="D3" s="7" t="s">
        <v>1140</v>
      </c>
      <c r="E3" s="7" t="s">
        <v>149</v>
      </c>
      <c r="F3" s="7" t="s">
        <v>42</v>
      </c>
      <c r="H3" s="7"/>
    </row>
    <row r="4" spans="1:8" x14ac:dyDescent="0.25">
      <c r="A4" s="7">
        <v>5</v>
      </c>
      <c r="B4" s="7">
        <v>10</v>
      </c>
      <c r="C4" s="7">
        <v>2</v>
      </c>
      <c r="D4" s="7" t="s">
        <v>1141</v>
      </c>
      <c r="E4" s="7" t="s">
        <v>41</v>
      </c>
      <c r="F4" s="7" t="s">
        <v>150</v>
      </c>
      <c r="H4" s="7"/>
    </row>
    <row r="5" spans="1:8" x14ac:dyDescent="0.25">
      <c r="B5" s="7"/>
      <c r="C5" s="7"/>
      <c r="D5" s="7"/>
      <c r="H5" s="7"/>
    </row>
    <row r="6" spans="1:8" x14ac:dyDescent="0.25">
      <c r="B6" s="7"/>
      <c r="C6" s="7"/>
      <c r="D6" s="7"/>
      <c r="H6" s="7"/>
    </row>
    <row r="7" spans="1:8" x14ac:dyDescent="0.25">
      <c r="B7" s="7"/>
      <c r="C7" s="7"/>
      <c r="D7" s="7"/>
      <c r="H7" s="7"/>
    </row>
    <row r="8" spans="1:8" x14ac:dyDescent="0.25">
      <c r="B8" s="7"/>
      <c r="C8" s="7"/>
      <c r="D8" s="7"/>
      <c r="F8" s="7"/>
      <c r="G8" s="7"/>
      <c r="H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chatbot_sessions_raw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Castiblanco Fonseca</dc:creator>
  <cp:lastModifiedBy>Juan Sebastian Castiblanco Fonseca</cp:lastModifiedBy>
  <dcterms:created xsi:type="dcterms:W3CDTF">2026-05-09T02:44:05Z</dcterms:created>
  <dcterms:modified xsi:type="dcterms:W3CDTF">2026-05-10T02:31:36Z</dcterms:modified>
</cp:coreProperties>
</file>